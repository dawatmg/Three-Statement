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Raw" sheetId="1" state="visible" r:id="rId1"/>
    <sheet name="BS_Raw" sheetId="2" state="visible" r:id="rId2"/>
    <sheet name="CF_Raw" sheetId="3" state="visible" r:id="rId3"/>
    <sheet name="IS_Mapped" sheetId="4" state="visible" r:id="rId4"/>
    <sheet name="BS_Mapped" sheetId="5" state="visible" r:id="rId5"/>
    <sheet name="CF_Mapped" sheetId="6" state="visible" r:id="rId6"/>
    <sheet name="Mapping_Log" sheetId="7" state="visible" r:id="rId7"/>
    <sheet name="IS_Model" sheetId="8" state="visible" r:id="rId8"/>
    <sheet name="BS_Model" sheetId="9" state="visible" r:id="rId9"/>
    <sheet name="CF_Model" sheetId="10" state="visible" r:id="rId10"/>
    <sheet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1F1F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9E480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7" fontId="0" fillId="0" borderId="1" pivotButton="0" quotePrefix="0" xfId="0"/>
    <xf numFmtId="0" fontId="1" fillId="3" borderId="1" applyAlignment="1" pivotButton="0" quotePrefix="0" xfId="0">
      <alignment horizontal="center"/>
    </xf>
    <xf numFmtId="37" fontId="0" fillId="0" borderId="0" pivotButton="0" quotePrefix="0" xfId="0"/>
    <xf numFmtId="0" fontId="2" fillId="4" borderId="0" pivotButton="0" quotePrefix="0" xfId="0"/>
    <xf numFmtId="37" fontId="2" fillId="4" borderId="0" pivotButton="0" quotePrefix="0" xfId="0"/>
    <xf numFmtId="37" fontId="0" fillId="5" borderId="0" pivotButton="0" quotePrefix="0" xfId="0"/>
    <xf numFmtId="37" fontId="2" fillId="5" borderId="0" pivotButton="0" quotePrefix="0" xfId="0"/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12" customWidth="1" min="9" max="9"/>
    <col width="15" customWidth="1" min="10" max="10"/>
    <col width="13" customWidth="1" min="11" max="11"/>
    <col width="28" customWidth="1" min="12" max="12"/>
    <col width="28" customWidth="1" min="13" max="13"/>
    <col width="28" customWidth="1" min="14" max="14"/>
    <col width="28" customWidth="1" min="15" max="15"/>
    <col width="15" customWidth="1" min="16" max="16"/>
    <col width="19" customWidth="1" min="17" max="17"/>
    <col width="17" customWidth="1" min="18" max="18"/>
    <col width="19" customWidth="1" min="19" max="19"/>
    <col width="16" customWidth="1" min="20" max="20"/>
    <col width="17" customWidth="1" min="21" max="21"/>
    <col width="28" customWidth="1" min="22" max="22"/>
    <col width="12" customWidth="1" min="23" max="23"/>
    <col width="12" customWidth="1" min="24" max="24"/>
    <col width="28" customWidth="1" min="25" max="25"/>
    <col width="17" customWidth="1" min="26" max="26"/>
    <col width="28" customWidth="1" min="27" max="27"/>
    <col width="17" customWidth="1" min="28" max="28"/>
    <col width="18" customWidth="1" min="29" max="29"/>
    <col width="28" customWidth="1" min="30" max="30"/>
    <col width="28" customWidth="1" min="31" max="31"/>
    <col width="28" customWidth="1" min="32" max="32"/>
    <col width="12" customWidth="1" min="33" max="33"/>
    <col width="21" customWidth="1" min="34" max="34"/>
    <col width="21" customWidth="1" min="35" max="35"/>
    <col width="8" customWidth="1" min="36" max="36"/>
    <col width="12" customWidth="1" min="37" max="37"/>
    <col width="23" customWidth="1" min="38" max="38"/>
    <col width="26" customWidth="1" min="39" max="3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revenue</t>
        </is>
      </c>
      <c r="J1" s="1" t="inlineStr">
        <is>
          <t>costOfRevenue</t>
        </is>
      </c>
      <c r="K1" s="1" t="inlineStr">
        <is>
          <t>grossProfit</t>
        </is>
      </c>
      <c r="L1" s="1" t="inlineStr">
        <is>
          <t>researchAndDevelopmentExpenses</t>
        </is>
      </c>
      <c r="M1" s="1" t="inlineStr">
        <is>
          <t>generalAndAdministrativeExpenses</t>
        </is>
      </c>
      <c r="N1" s="1" t="inlineStr">
        <is>
          <t>sellingAndMarketingExpenses</t>
        </is>
      </c>
      <c r="O1" s="1" t="inlineStr">
        <is>
          <t>sellingGeneralAndAdministrativeExpenses</t>
        </is>
      </c>
      <c r="P1" s="1" t="inlineStr">
        <is>
          <t>otherExpenses</t>
        </is>
      </c>
      <c r="Q1" s="1" t="inlineStr">
        <is>
          <t>operatingExpenses</t>
        </is>
      </c>
      <c r="R1" s="1" t="inlineStr">
        <is>
          <t>costAndExpenses</t>
        </is>
      </c>
      <c r="S1" s="1" t="inlineStr">
        <is>
          <t>netInterestIncome</t>
        </is>
      </c>
      <c r="T1" s="1" t="inlineStr">
        <is>
          <t>interestIncome</t>
        </is>
      </c>
      <c r="U1" s="1" t="inlineStr">
        <is>
          <t>interestExpense</t>
        </is>
      </c>
      <c r="V1" s="1" t="inlineStr">
        <is>
          <t>depreciationAndAmortization</t>
        </is>
      </c>
      <c r="W1" s="1" t="inlineStr">
        <is>
          <t>ebitda</t>
        </is>
      </c>
      <c r="X1" s="1" t="inlineStr">
        <is>
          <t>ebit</t>
        </is>
      </c>
      <c r="Y1" s="1" t="inlineStr">
        <is>
          <t>nonOperatingIncomeExcludingInterest</t>
        </is>
      </c>
      <c r="Z1" s="1" t="inlineStr">
        <is>
          <t>operatingIncome</t>
        </is>
      </c>
      <c r="AA1" s="1" t="inlineStr">
        <is>
          <t>totalOtherIncomeExpensesNet</t>
        </is>
      </c>
      <c r="AB1" s="1" t="inlineStr">
        <is>
          <t>incomeBeforeTax</t>
        </is>
      </c>
      <c r="AC1" s="1" t="inlineStr">
        <is>
          <t>incomeTaxExpense</t>
        </is>
      </c>
      <c r="AD1" s="1" t="inlineStr">
        <is>
          <t>netIncomeFromContinuingOperations</t>
        </is>
      </c>
      <c r="AE1" s="1" t="inlineStr">
        <is>
          <t>netIncomeFromDiscontinuedOperations</t>
        </is>
      </c>
      <c r="AF1" s="1" t="inlineStr">
        <is>
          <t>otherAdjustmentsToNetIncome</t>
        </is>
      </c>
      <c r="AG1" s="1" t="inlineStr">
        <is>
          <t>netIncome</t>
        </is>
      </c>
      <c r="AH1" s="1" t="inlineStr">
        <is>
          <t>netIncomeDeductions</t>
        </is>
      </c>
      <c r="AI1" s="1" t="inlineStr">
        <is>
          <t>bottomLineNetIncome</t>
        </is>
      </c>
      <c r="AJ1" s="1" t="inlineStr">
        <is>
          <t>eps</t>
        </is>
      </c>
      <c r="AK1" s="1" t="inlineStr">
        <is>
          <t>epsDiluted</t>
        </is>
      </c>
      <c r="AL1" s="1" t="inlineStr">
        <is>
          <t>weightedAverageShsOut</t>
        </is>
      </c>
      <c r="AM1" s="1" t="inlineStr">
        <is>
          <t>weightedAverageShsOutDil</t>
        </is>
      </c>
    </row>
    <row r="2">
      <c r="A2" s="2" t="inlineStr">
        <is>
          <t>2025-12-31</t>
        </is>
      </c>
      <c r="B2" s="2" t="inlineStr">
        <is>
          <t>PLTR</t>
        </is>
      </c>
      <c r="C2" s="2" t="inlineStr">
        <is>
          <t>USD</t>
        </is>
      </c>
      <c r="D2" s="2" t="inlineStr">
        <is>
          <t>0001321655</t>
        </is>
      </c>
      <c r="E2" s="2" t="inlineStr">
        <is>
          <t>2026-02-17</t>
        </is>
      </c>
      <c r="F2" s="2" t="inlineStr">
        <is>
          <t>2026-02-17 06:14:19</t>
        </is>
      </c>
      <c r="G2" s="2" t="inlineStr">
        <is>
          <t>2025</t>
        </is>
      </c>
      <c r="H2" s="2" t="inlineStr">
        <is>
          <t>FY</t>
        </is>
      </c>
      <c r="I2" s="2" t="n">
        <v>4475446000</v>
      </c>
      <c r="J2" s="2" t="n">
        <v>789177000</v>
      </c>
      <c r="K2" s="2" t="n">
        <v>3686269000</v>
      </c>
      <c r="L2" s="2" t="n">
        <v>557677000</v>
      </c>
      <c r="M2" s="2" t="n">
        <v>657718000</v>
      </c>
      <c r="N2" s="2" t="n">
        <v>1056859000</v>
      </c>
      <c r="O2" s="2" t="n">
        <v>1714577000</v>
      </c>
      <c r="P2" s="2" t="n">
        <v>0</v>
      </c>
      <c r="Q2" s="2" t="n">
        <v>2272254000</v>
      </c>
      <c r="R2" s="2" t="n">
        <v>3061431000</v>
      </c>
      <c r="S2" s="2" t="n">
        <v>229181000</v>
      </c>
      <c r="T2" s="2" t="n">
        <v>229181000</v>
      </c>
      <c r="U2" s="2" t="n">
        <v>0</v>
      </c>
      <c r="V2" s="2" t="n">
        <v>26145000</v>
      </c>
      <c r="W2" s="2" t="n">
        <v>1440160000</v>
      </c>
      <c r="X2" s="2" t="n">
        <v>1414015000</v>
      </c>
      <c r="Y2" s="2" t="n">
        <v>0</v>
      </c>
      <c r="Z2" s="2" t="n">
        <v>1414015000</v>
      </c>
      <c r="AA2" s="2" t="n">
        <v>243353000</v>
      </c>
      <c r="AB2" s="2" t="n">
        <v>1657368000</v>
      </c>
      <c r="AC2" s="2" t="n">
        <v>22724000</v>
      </c>
      <c r="AD2" s="2" t="n">
        <v>1634644000</v>
      </c>
      <c r="AE2" s="2" t="n">
        <v>0</v>
      </c>
      <c r="AF2" s="2" t="n">
        <v>0</v>
      </c>
      <c r="AG2" s="2" t="n">
        <v>1625033000</v>
      </c>
      <c r="AH2" s="2" t="n">
        <v>0</v>
      </c>
      <c r="AI2" s="2" t="n">
        <v>1625033000</v>
      </c>
      <c r="AJ2" s="2" t="n">
        <v>0.6899999999999999</v>
      </c>
      <c r="AK2" s="2" t="n">
        <v>0.63</v>
      </c>
      <c r="AL2" s="2" t="n">
        <v>2369612000</v>
      </c>
      <c r="AM2" s="2" t="n">
        <v>2565197000</v>
      </c>
    </row>
    <row r="3">
      <c r="A3" s="2" t="inlineStr">
        <is>
          <t>2024-12-31</t>
        </is>
      </c>
      <c r="B3" s="2" t="inlineStr">
        <is>
          <t>PLTR</t>
        </is>
      </c>
      <c r="C3" s="2" t="inlineStr">
        <is>
          <t>USD</t>
        </is>
      </c>
      <c r="D3" s="2" t="inlineStr">
        <is>
          <t>0001321655</t>
        </is>
      </c>
      <c r="E3" s="2" t="inlineStr">
        <is>
          <t>2025-02-18</t>
        </is>
      </c>
      <c r="F3" s="2" t="inlineStr">
        <is>
          <t>2025-02-18 06:06:00</t>
        </is>
      </c>
      <c r="G3" s="2" t="inlineStr">
        <is>
          <t>2024</t>
        </is>
      </c>
      <c r="H3" s="2" t="inlineStr">
        <is>
          <t>FY</t>
        </is>
      </c>
      <c r="I3" s="2" t="n">
        <v>2865507000</v>
      </c>
      <c r="J3" s="2" t="n">
        <v>565990000</v>
      </c>
      <c r="K3" s="2" t="n">
        <v>2299517000</v>
      </c>
      <c r="L3" s="2" t="n">
        <v>507878000</v>
      </c>
      <c r="M3" s="2" t="n">
        <v>593481000</v>
      </c>
      <c r="N3" s="2" t="n">
        <v>887755000</v>
      </c>
      <c r="O3" s="2" t="n">
        <v>1481236000</v>
      </c>
      <c r="P3" s="2" t="n">
        <v>0</v>
      </c>
      <c r="Q3" s="2" t="n">
        <v>1989114000</v>
      </c>
      <c r="R3" s="2" t="n">
        <v>2555104000</v>
      </c>
      <c r="S3" s="2" t="n">
        <v>196792000</v>
      </c>
      <c r="T3" s="2" t="n">
        <v>196792000</v>
      </c>
      <c r="U3" s="2" t="n">
        <v>0</v>
      </c>
      <c r="V3" s="2" t="n">
        <v>31587000</v>
      </c>
      <c r="W3" s="2" t="n">
        <v>341990000</v>
      </c>
      <c r="X3" s="2" t="n">
        <v>310403000</v>
      </c>
      <c r="Y3" s="2" t="n">
        <v>0</v>
      </c>
      <c r="Z3" s="2" t="n">
        <v>310403000</v>
      </c>
      <c r="AA3" s="2" t="n">
        <v>178770000</v>
      </c>
      <c r="AB3" s="2" t="n">
        <v>489173000</v>
      </c>
      <c r="AC3" s="2" t="n">
        <v>21255000</v>
      </c>
      <c r="AD3" s="2" t="n">
        <v>467918000</v>
      </c>
      <c r="AE3" s="2" t="n">
        <v>0</v>
      </c>
      <c r="AF3" s="2" t="n">
        <v>0</v>
      </c>
      <c r="AG3" s="2" t="n">
        <v>462190000</v>
      </c>
      <c r="AH3" s="2" t="n">
        <v>0</v>
      </c>
      <c r="AI3" s="2" t="n">
        <v>462190000</v>
      </c>
      <c r="AJ3" s="2" t="n">
        <v>0.21</v>
      </c>
      <c r="AK3" s="2" t="n">
        <v>0.19</v>
      </c>
      <c r="AL3" s="2" t="n">
        <v>2250163000</v>
      </c>
      <c r="AM3" s="2" t="n">
        <v>2450818000</v>
      </c>
    </row>
    <row r="4">
      <c r="A4" s="2" t="inlineStr">
        <is>
          <t>2023-12-31</t>
        </is>
      </c>
      <c r="B4" s="2" t="inlineStr">
        <is>
          <t>PLTR</t>
        </is>
      </c>
      <c r="C4" s="2" t="inlineStr">
        <is>
          <t>USD</t>
        </is>
      </c>
      <c r="D4" s="2" t="inlineStr">
        <is>
          <t>0001321655</t>
        </is>
      </c>
      <c r="E4" s="2" t="inlineStr">
        <is>
          <t>2024-02-20</t>
        </is>
      </c>
      <c r="F4" s="2" t="inlineStr">
        <is>
          <t>2024-02-20 06:15:02</t>
        </is>
      </c>
      <c r="G4" s="2" t="inlineStr">
        <is>
          <t>2023</t>
        </is>
      </c>
      <c r="H4" s="2" t="inlineStr">
        <is>
          <t>FY</t>
        </is>
      </c>
      <c r="I4" s="2" t="n">
        <v>2225012000</v>
      </c>
      <c r="J4" s="2" t="n">
        <v>431105000</v>
      </c>
      <c r="K4" s="2" t="n">
        <v>1793907000</v>
      </c>
      <c r="L4" s="2" t="n">
        <v>404624000</v>
      </c>
      <c r="M4" s="2" t="n">
        <v>524325000</v>
      </c>
      <c r="N4" s="2" t="n">
        <v>744992000</v>
      </c>
      <c r="O4" s="2" t="n">
        <v>1269317000</v>
      </c>
      <c r="P4" s="2" t="n">
        <v>0</v>
      </c>
      <c r="Q4" s="2" t="n">
        <v>1673941000</v>
      </c>
      <c r="R4" s="2" t="n">
        <v>2105046000</v>
      </c>
      <c r="S4" s="2" t="n">
        <v>129102000</v>
      </c>
      <c r="T4" s="2" t="n">
        <v>132572000</v>
      </c>
      <c r="U4" s="2" t="n">
        <v>3470000</v>
      </c>
      <c r="V4" s="2" t="n">
        <v>33354000</v>
      </c>
      <c r="W4" s="2" t="n">
        <v>153320000</v>
      </c>
      <c r="X4" s="2" t="n">
        <v>119966000</v>
      </c>
      <c r="Y4" s="2" t="n">
        <v>0</v>
      </c>
      <c r="Z4" s="2" t="n">
        <v>119966000</v>
      </c>
      <c r="AA4" s="2" t="n">
        <v>117125000</v>
      </c>
      <c r="AB4" s="2" t="n">
        <v>237091000</v>
      </c>
      <c r="AC4" s="2" t="n">
        <v>19716000</v>
      </c>
      <c r="AD4" s="2" t="n">
        <v>217375000</v>
      </c>
      <c r="AE4" s="2" t="n">
        <v>0</v>
      </c>
      <c r="AF4" s="2" t="n">
        <v>0</v>
      </c>
      <c r="AG4" s="2" t="n">
        <v>209825000</v>
      </c>
      <c r="AH4" s="2" t="n">
        <v>0</v>
      </c>
      <c r="AI4" s="2" t="n">
        <v>209825000</v>
      </c>
      <c r="AJ4" s="2" t="n">
        <v>0.0977</v>
      </c>
      <c r="AK4" s="2" t="n">
        <v>0.09130000000000001</v>
      </c>
      <c r="AL4" s="2" t="n">
        <v>2147446000</v>
      </c>
      <c r="AM4" s="2" t="n">
        <v>2297927000</v>
      </c>
    </row>
    <row r="5">
      <c r="A5" s="2" t="inlineStr">
        <is>
          <t>2022-12-31</t>
        </is>
      </c>
      <c r="B5" s="2" t="inlineStr">
        <is>
          <t>PLTR</t>
        </is>
      </c>
      <c r="C5" s="2" t="inlineStr">
        <is>
          <t>USD</t>
        </is>
      </c>
      <c r="D5" s="2" t="inlineStr">
        <is>
          <t>0001321655</t>
        </is>
      </c>
      <c r="E5" s="2" t="inlineStr">
        <is>
          <t>2023-02-21</t>
        </is>
      </c>
      <c r="F5" s="2" t="inlineStr">
        <is>
          <t>2023-02-21 16:35:44</t>
        </is>
      </c>
      <c r="G5" s="2" t="inlineStr">
        <is>
          <t>2022</t>
        </is>
      </c>
      <c r="H5" s="2" t="inlineStr">
        <is>
          <t>FY</t>
        </is>
      </c>
      <c r="I5" s="2" t="n">
        <v>1905871000</v>
      </c>
      <c r="J5" s="2" t="n">
        <v>408549000</v>
      </c>
      <c r="K5" s="2" t="n">
        <v>1497322000</v>
      </c>
      <c r="L5" s="2" t="n">
        <v>359679000</v>
      </c>
      <c r="M5" s="2" t="n">
        <v>596333000</v>
      </c>
      <c r="N5" s="2" t="n">
        <v>702511000</v>
      </c>
      <c r="O5" s="2" t="n">
        <v>1298844000</v>
      </c>
      <c r="P5" s="2" t="n">
        <v>0</v>
      </c>
      <c r="Q5" s="2" t="n">
        <v>1658523000</v>
      </c>
      <c r="R5" s="2" t="n">
        <v>2067072000</v>
      </c>
      <c r="S5" s="2" t="n">
        <v>16251000</v>
      </c>
      <c r="T5" s="2" t="n">
        <v>20309000</v>
      </c>
      <c r="U5" s="2" t="n">
        <v>4058000</v>
      </c>
      <c r="V5" s="2" t="n">
        <v>22522000</v>
      </c>
      <c r="W5" s="2" t="n">
        <v>-138679000</v>
      </c>
      <c r="X5" s="2" t="n">
        <v>-161201000</v>
      </c>
      <c r="Y5" s="2" t="n">
        <v>0</v>
      </c>
      <c r="Z5" s="2" t="n">
        <v>-161201000</v>
      </c>
      <c r="AA5" s="2" t="n">
        <v>-199826000</v>
      </c>
      <c r="AB5" s="2" t="n">
        <v>-361027000</v>
      </c>
      <c r="AC5" s="2" t="n">
        <v>10067000</v>
      </c>
      <c r="AD5" s="2" t="n">
        <v>-371094000</v>
      </c>
      <c r="AE5" s="2" t="n">
        <v>0</v>
      </c>
      <c r="AF5" s="2" t="n">
        <v>0</v>
      </c>
      <c r="AG5" s="2" t="n">
        <v>-373705000</v>
      </c>
      <c r="AH5" s="2" t="n">
        <v>0</v>
      </c>
      <c r="AI5" s="2" t="n">
        <v>-373705000</v>
      </c>
      <c r="AJ5" s="2" t="n">
        <v>-0.18</v>
      </c>
      <c r="AK5" s="2" t="n">
        <v>-0.18</v>
      </c>
      <c r="AL5" s="2" t="n">
        <v>2063793000</v>
      </c>
      <c r="AM5" s="2" t="n">
        <v>2063793000</v>
      </c>
    </row>
    <row r="6">
      <c r="A6" s="2" t="inlineStr">
        <is>
          <t>2021-12-31</t>
        </is>
      </c>
      <c r="B6" s="2" t="inlineStr">
        <is>
          <t>PLTR</t>
        </is>
      </c>
      <c r="C6" s="2" t="inlineStr">
        <is>
          <t>USD</t>
        </is>
      </c>
      <c r="D6" s="2" t="inlineStr">
        <is>
          <t>0001321655</t>
        </is>
      </c>
      <c r="E6" s="2" t="inlineStr">
        <is>
          <t>2022-02-24</t>
        </is>
      </c>
      <c r="F6" s="2" t="inlineStr">
        <is>
          <t>2022-02-24 06:20:34</t>
        </is>
      </c>
      <c r="G6" s="2" t="inlineStr">
        <is>
          <t>2021</t>
        </is>
      </c>
      <c r="H6" s="2" t="inlineStr">
        <is>
          <t>FY</t>
        </is>
      </c>
      <c r="I6" s="2" t="n">
        <v>1541889000</v>
      </c>
      <c r="J6" s="2" t="n">
        <v>339404000</v>
      </c>
      <c r="K6" s="2" t="n">
        <v>1202485000</v>
      </c>
      <c r="L6" s="2" t="n">
        <v>387487000</v>
      </c>
      <c r="M6" s="2" t="n">
        <v>611532000</v>
      </c>
      <c r="N6" s="2" t="n">
        <v>614512000</v>
      </c>
      <c r="O6" s="2" t="n">
        <v>1226044000</v>
      </c>
      <c r="P6" s="2" t="n">
        <v>0</v>
      </c>
      <c r="Q6" s="2" t="n">
        <v>1613531000</v>
      </c>
      <c r="R6" s="2" t="n">
        <v>1952935000</v>
      </c>
      <c r="S6" s="2" t="n">
        <v>-2033000</v>
      </c>
      <c r="T6" s="2" t="n">
        <v>1607000</v>
      </c>
      <c r="U6" s="2" t="n">
        <v>3640000</v>
      </c>
      <c r="V6" s="2" t="n">
        <v>14897000</v>
      </c>
      <c r="W6" s="2" t="n">
        <v>-469957000</v>
      </c>
      <c r="X6" s="2" t="n">
        <v>-484854000</v>
      </c>
      <c r="Y6" s="2" t="n">
        <v>73808000</v>
      </c>
      <c r="Z6" s="2" t="n">
        <v>-411046000</v>
      </c>
      <c r="AA6" s="2" t="n">
        <v>-77448000</v>
      </c>
      <c r="AB6" s="2" t="n">
        <v>-488494000</v>
      </c>
      <c r="AC6" s="2" t="n">
        <v>31885000</v>
      </c>
      <c r="AD6" s="2" t="n">
        <v>-520379000</v>
      </c>
      <c r="AE6" s="2" t="n">
        <v>0</v>
      </c>
      <c r="AF6" s="2" t="n">
        <v>0</v>
      </c>
      <c r="AG6" s="2" t="n">
        <v>-520379000</v>
      </c>
      <c r="AH6" s="2" t="n">
        <v>0</v>
      </c>
      <c r="AI6" s="2" t="n">
        <v>-520379000</v>
      </c>
      <c r="AJ6" s="2" t="n">
        <v>-0.27</v>
      </c>
      <c r="AK6" s="2" t="n">
        <v>-0.27</v>
      </c>
      <c r="AL6" s="2" t="n">
        <v>1923617000</v>
      </c>
      <c r="AM6" s="2" t="n">
        <v>1923617000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24" customWidth="1" min="9" max="9"/>
    <col width="22" customWidth="1" min="10" max="10"/>
    <col width="28" customWidth="1" min="11" max="11"/>
    <col width="16" customWidth="1" min="12" max="12"/>
    <col width="21" customWidth="1" min="13" max="13"/>
    <col width="18" customWidth="1" min="14" max="14"/>
    <col width="11" customWidth="1" min="15" max="15"/>
    <col width="11" customWidth="1" min="16" max="16"/>
    <col width="20" customWidth="1" min="17" max="17"/>
    <col width="20" customWidth="1" min="18" max="18"/>
    <col width="27" customWidth="1" min="19" max="19"/>
    <col width="10" customWidth="1" min="20" max="20"/>
    <col width="18" customWidth="1" min="21" max="21"/>
    <col width="28" customWidth="1" min="22" max="22"/>
    <col width="21" customWidth="1" min="23" max="23"/>
    <col width="11" customWidth="1" min="24" max="24"/>
    <col width="23" customWidth="1" min="25" max="25"/>
    <col width="23" customWidth="1" min="26" max="26"/>
    <col width="13" customWidth="1" min="27" max="27"/>
    <col width="13" customWidth="1" min="28" max="28"/>
    <col width="15" customWidth="1" min="29" max="29"/>
    <col width="17" customWidth="1" min="30" max="30"/>
    <col width="15" customWidth="1" min="31" max="31"/>
    <col width="17" customWidth="1" min="32" max="32"/>
    <col width="15" customWidth="1" min="33" max="33"/>
    <col width="28" customWidth="1" min="34" max="34"/>
    <col width="13" customWidth="1" min="35" max="35"/>
    <col width="17" customWidth="1" min="36" max="36"/>
    <col width="25" customWidth="1" min="37" max="37"/>
    <col width="25" customWidth="1" min="38" max="38"/>
    <col width="14" customWidth="1" min="39" max="39"/>
    <col width="28" customWidth="1" min="40" max="40"/>
    <col width="27" customWidth="1" min="41" max="41"/>
    <col width="28" customWidth="1" min="42" max="42"/>
    <col width="28" customWidth="1" min="43" max="43"/>
    <col width="28" customWidth="1" min="44" max="44"/>
    <col width="18" customWidth="1" min="45" max="45"/>
    <col width="25" customWidth="1" min="46" max="46"/>
    <col width="18" customWidth="1" min="47" max="47"/>
    <col width="15" customWidth="1" min="48" max="48"/>
    <col width="16" customWidth="1" min="49" max="49"/>
    <col width="13" customWidth="1" min="50" max="50"/>
    <col width="18" customWidth="1" min="51" max="51"/>
    <col width="25" customWidth="1" min="52" max="52"/>
    <col width="28" customWidth="1" min="53" max="53"/>
    <col width="28" customWidth="1" min="54" max="54"/>
    <col width="25" customWidth="1" min="55" max="55"/>
    <col width="13" customWidth="1" min="56" max="56"/>
    <col width="18" customWidth="1" min="57" max="57"/>
    <col width="28" customWidth="1" min="58" max="58"/>
    <col width="18" customWidth="1" min="59" max="59"/>
    <col width="11" customWidth="1" min="60" max="60"/>
    <col width="13" customWidth="1" min="61" max="6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netReceivables</t>
        </is>
      </c>
      <c r="M1" s="1" t="inlineStr">
        <is>
          <t>accountsReceivables</t>
        </is>
      </c>
      <c r="N1" s="1" t="inlineStr">
        <is>
          <t>otherReceivables</t>
        </is>
      </c>
      <c r="O1" s="1" t="inlineStr">
        <is>
          <t>inventory</t>
        </is>
      </c>
      <c r="P1" s="1" t="inlineStr">
        <is>
          <t>prepaids</t>
        </is>
      </c>
      <c r="Q1" s="1" t="inlineStr">
        <is>
          <t>otherCurrentAssets</t>
        </is>
      </c>
      <c r="R1" s="1" t="inlineStr">
        <is>
          <t>totalCurrentAssets</t>
        </is>
      </c>
      <c r="S1" s="1" t="inlineStr">
        <is>
          <t>propertyPlantEquipmentNet</t>
        </is>
      </c>
      <c r="T1" s="1" t="inlineStr">
        <is>
          <t>goodwill</t>
        </is>
      </c>
      <c r="U1" s="1" t="inlineStr">
        <is>
          <t>intangibleAssets</t>
        </is>
      </c>
      <c r="V1" s="1" t="inlineStr">
        <is>
          <t>goodwillAndIntangibleAssets</t>
        </is>
      </c>
      <c r="W1" s="1" t="inlineStr">
        <is>
          <t>longTermInvestments</t>
        </is>
      </c>
      <c r="X1" s="1" t="inlineStr">
        <is>
          <t>taxAssets</t>
        </is>
      </c>
      <c r="Y1" s="1" t="inlineStr">
        <is>
          <t>otherNonCurrentAssets</t>
        </is>
      </c>
      <c r="Z1" s="1" t="inlineStr">
        <is>
          <t>totalNonCurrentAssets</t>
        </is>
      </c>
      <c r="AA1" s="1" t="inlineStr">
        <is>
          <t>otherAssets</t>
        </is>
      </c>
      <c r="AB1" s="1" t="inlineStr">
        <is>
          <t>totalAssets</t>
        </is>
      </c>
      <c r="AC1" s="1" t="inlineStr">
        <is>
          <t>totalPayables</t>
        </is>
      </c>
      <c r="AD1" s="1" t="inlineStr">
        <is>
          <t>accountPayables</t>
        </is>
      </c>
      <c r="AE1" s="1" t="inlineStr">
        <is>
          <t>otherPayables</t>
        </is>
      </c>
      <c r="AF1" s="1" t="inlineStr">
        <is>
          <t>accruedExpenses</t>
        </is>
      </c>
      <c r="AG1" s="1" t="inlineStr">
        <is>
          <t>shortTermDebt</t>
        </is>
      </c>
      <c r="AH1" s="1" t="inlineStr">
        <is>
          <t>capitalLeaseObligationsCurrent</t>
        </is>
      </c>
      <c r="AI1" s="1" t="inlineStr">
        <is>
          <t>taxPayables</t>
        </is>
      </c>
      <c r="AJ1" s="1" t="inlineStr">
        <is>
          <t>deferredRevenue</t>
        </is>
      </c>
      <c r="AK1" s="1" t="inlineStr">
        <is>
          <t>otherCurrentLiabilities</t>
        </is>
      </c>
      <c r="AL1" s="1" t="inlineStr">
        <is>
          <t>totalCurrentLiabilities</t>
        </is>
      </c>
      <c r="AM1" s="1" t="inlineStr">
        <is>
          <t>longTermDebt</t>
        </is>
      </c>
      <c r="AN1" s="1" t="inlineStr">
        <is>
          <t>capitalLeaseObligationsNonCurrent</t>
        </is>
      </c>
      <c r="AO1" s="1" t="inlineStr">
        <is>
          <t>deferredRevenueNonCurrent</t>
        </is>
      </c>
      <c r="AP1" s="1" t="inlineStr">
        <is>
          <t>deferredTaxLiabilitiesNonCurrent</t>
        </is>
      </c>
      <c r="AQ1" s="1" t="inlineStr">
        <is>
          <t>otherNonCurrentLiabilities</t>
        </is>
      </c>
      <c r="AR1" s="1" t="inlineStr">
        <is>
          <t>totalNonCurrentLiabilities</t>
        </is>
      </c>
      <c r="AS1" s="1" t="inlineStr">
        <is>
          <t>otherLiabilities</t>
        </is>
      </c>
      <c r="AT1" s="1" t="inlineStr">
        <is>
          <t>capitalLeaseObligations</t>
        </is>
      </c>
      <c r="AU1" s="1" t="inlineStr">
        <is>
          <t>totalLiabilities</t>
        </is>
      </c>
      <c r="AV1" s="1" t="inlineStr">
        <is>
          <t>treasuryStock</t>
        </is>
      </c>
      <c r="AW1" s="1" t="inlineStr">
        <is>
          <t>preferredStock</t>
        </is>
      </c>
      <c r="AX1" s="1" t="inlineStr">
        <is>
          <t>commonStock</t>
        </is>
      </c>
      <c r="AY1" s="1" t="inlineStr">
        <is>
          <t>retainedEarnings</t>
        </is>
      </c>
      <c r="AZ1" s="1" t="inlineStr">
        <is>
          <t>additionalPaidInCapital</t>
        </is>
      </c>
      <c r="BA1" s="1" t="inlineStr">
        <is>
          <t>accumulatedOtherComprehensiveIncomeLoss</t>
        </is>
      </c>
      <c r="BB1" s="1" t="inlineStr">
        <is>
          <t>otherTotalStockholdersEquity</t>
        </is>
      </c>
      <c r="BC1" s="1" t="inlineStr">
        <is>
          <t>totalStockholdersEquity</t>
        </is>
      </c>
      <c r="BD1" s="1" t="inlineStr">
        <is>
          <t>totalEquity</t>
        </is>
      </c>
      <c r="BE1" s="1" t="inlineStr">
        <is>
          <t>minorityInterest</t>
        </is>
      </c>
      <c r="BF1" s="1" t="inlineStr">
        <is>
          <t>totalLiabilitiesAndTotalEquity</t>
        </is>
      </c>
      <c r="BG1" s="1" t="inlineStr">
        <is>
          <t>totalInvestments</t>
        </is>
      </c>
      <c r="BH1" s="1" t="inlineStr">
        <is>
          <t>totalDebt</t>
        </is>
      </c>
      <c r="BI1" s="1" t="inlineStr">
        <is>
          <t>netDebt</t>
        </is>
      </c>
    </row>
    <row r="2">
      <c r="A2" s="2" t="inlineStr">
        <is>
          <t>2025-12-31</t>
        </is>
      </c>
      <c r="B2" s="2" t="inlineStr">
        <is>
          <t>PLTR</t>
        </is>
      </c>
      <c r="C2" s="2" t="inlineStr">
        <is>
          <t>USD</t>
        </is>
      </c>
      <c r="D2" s="2" t="inlineStr">
        <is>
          <t>0001321655</t>
        </is>
      </c>
      <c r="E2" s="2" t="inlineStr">
        <is>
          <t>2026-02-17</t>
        </is>
      </c>
      <c r="F2" s="2" t="inlineStr">
        <is>
          <t>2026-02-17 06:14:19</t>
        </is>
      </c>
      <c r="G2" s="2" t="inlineStr">
        <is>
          <t>2025</t>
        </is>
      </c>
      <c r="H2" s="2" t="inlineStr">
        <is>
          <t>FY</t>
        </is>
      </c>
      <c r="I2" s="2" t="n">
        <v>1423796000</v>
      </c>
      <c r="J2" s="2" t="n">
        <v>5753247000</v>
      </c>
      <c r="K2" s="2" t="n">
        <v>7177043000</v>
      </c>
      <c r="L2" s="2" t="n">
        <v>1042065000</v>
      </c>
      <c r="M2" s="2" t="n">
        <v>1042065000</v>
      </c>
      <c r="N2" s="2" t="n">
        <v>0</v>
      </c>
      <c r="O2" s="2" t="n">
        <v>0</v>
      </c>
      <c r="P2" s="2" t="n">
        <v>0</v>
      </c>
      <c r="Q2" s="2" t="n">
        <v>139066000</v>
      </c>
      <c r="R2" s="2" t="n">
        <v>8358174000</v>
      </c>
      <c r="S2" s="2" t="n">
        <v>252065000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290153000</v>
      </c>
      <c r="Z2" s="2" t="n">
        <v>542218000</v>
      </c>
      <c r="AA2" s="2" t="n">
        <v>0</v>
      </c>
      <c r="AB2" s="2" t="n">
        <v>8900392000</v>
      </c>
      <c r="AC2" s="2" t="n">
        <v>8064000</v>
      </c>
      <c r="AD2" s="2" t="n">
        <v>8064000</v>
      </c>
      <c r="AE2" s="2" t="n">
        <v>0</v>
      </c>
      <c r="AF2" s="2" t="n">
        <v>0</v>
      </c>
      <c r="AG2" s="2" t="n">
        <v>0</v>
      </c>
      <c r="AH2" s="2" t="n">
        <v>45864000</v>
      </c>
      <c r="AI2" s="2" t="n">
        <v>0</v>
      </c>
      <c r="AJ2" s="2" t="n">
        <v>408963000</v>
      </c>
      <c r="AK2" s="2" t="n">
        <v>712690000</v>
      </c>
      <c r="AL2" s="2" t="n">
        <v>1175581000</v>
      </c>
      <c r="AM2" s="2" t="n">
        <v>183474000</v>
      </c>
      <c r="AN2" s="2" t="n">
        <v>183474000</v>
      </c>
      <c r="AO2" s="2" t="n">
        <v>46216000</v>
      </c>
      <c r="AP2" s="2" t="n">
        <v>0</v>
      </c>
      <c r="AQ2" s="2" t="n">
        <v>-176364000</v>
      </c>
      <c r="AR2" s="2" t="n">
        <v>236800000</v>
      </c>
      <c r="AS2" s="2" t="n">
        <v>0</v>
      </c>
      <c r="AT2" s="2" t="n">
        <v>229338000</v>
      </c>
      <c r="AU2" s="2" t="n">
        <v>1412381000</v>
      </c>
      <c r="AV2" s="2" t="n">
        <v>0</v>
      </c>
      <c r="AW2" s="2" t="n">
        <v>0</v>
      </c>
      <c r="AX2" s="2" t="n">
        <v>2391000</v>
      </c>
      <c r="AY2" s="2" t="n">
        <v>-3562390000</v>
      </c>
      <c r="AZ2" s="2" t="n">
        <v>10933325000</v>
      </c>
      <c r="BA2" s="2" t="n">
        <v>13941999</v>
      </c>
      <c r="BB2" s="2" t="n">
        <v>0</v>
      </c>
      <c r="BC2" s="2" t="n">
        <v>7387268000</v>
      </c>
      <c r="BD2" s="2" t="n">
        <v>7488011000</v>
      </c>
      <c r="BE2" s="2" t="n">
        <v>100743000</v>
      </c>
      <c r="BF2" s="2" t="n">
        <v>8900392000</v>
      </c>
      <c r="BG2" s="2" t="n">
        <v>5753247000</v>
      </c>
      <c r="BH2" s="2" t="n">
        <v>412812000</v>
      </c>
      <c r="BI2" s="2" t="n">
        <v>-1010984000</v>
      </c>
    </row>
    <row r="3">
      <c r="A3" s="2" t="inlineStr">
        <is>
          <t>2024-12-31</t>
        </is>
      </c>
      <c r="B3" s="2" t="inlineStr">
        <is>
          <t>PLTR</t>
        </is>
      </c>
      <c r="C3" s="2" t="inlineStr">
        <is>
          <t>USD</t>
        </is>
      </c>
      <c r="D3" s="2" t="inlineStr">
        <is>
          <t>0001321655</t>
        </is>
      </c>
      <c r="E3" s="2" t="inlineStr">
        <is>
          <t>2025-02-18</t>
        </is>
      </c>
      <c r="F3" s="2" t="inlineStr">
        <is>
          <t>2025-02-18 06:06:00</t>
        </is>
      </c>
      <c r="G3" s="2" t="inlineStr">
        <is>
          <t>2024</t>
        </is>
      </c>
      <c r="H3" s="2" t="inlineStr">
        <is>
          <t>FY</t>
        </is>
      </c>
      <c r="I3" s="2" t="n">
        <v>2098524000</v>
      </c>
      <c r="J3" s="2" t="n">
        <v>3131463000</v>
      </c>
      <c r="K3" s="2" t="n">
        <v>5229987000</v>
      </c>
      <c r="L3" s="2" t="n">
        <v>575048000</v>
      </c>
      <c r="M3" s="2" t="n">
        <v>575048000</v>
      </c>
      <c r="N3" s="2" t="n">
        <v>0</v>
      </c>
      <c r="O3" s="2" t="n">
        <v>0</v>
      </c>
      <c r="P3" s="2" t="n">
        <v>0</v>
      </c>
      <c r="Q3" s="2" t="n">
        <v>129254000</v>
      </c>
      <c r="R3" s="2" t="n">
        <v>5934289000</v>
      </c>
      <c r="S3" s="2" t="n">
        <v>240378000</v>
      </c>
      <c r="T3" s="2" t="n">
        <v>0</v>
      </c>
      <c r="U3" s="2" t="n">
        <v>18058000</v>
      </c>
      <c r="V3" s="2" t="n">
        <v>18058000</v>
      </c>
      <c r="W3" s="2" t="n">
        <v>0</v>
      </c>
      <c r="X3" s="2" t="n">
        <v>0</v>
      </c>
      <c r="Y3" s="2" t="n">
        <v>148159000</v>
      </c>
      <c r="Z3" s="2" t="n">
        <v>406595000</v>
      </c>
      <c r="AA3" s="2" t="n">
        <v>0</v>
      </c>
      <c r="AB3" s="2" t="n">
        <v>6340884000</v>
      </c>
      <c r="AC3" s="2" t="n">
        <v>42346000</v>
      </c>
      <c r="AD3" s="2" t="n">
        <v>103000</v>
      </c>
      <c r="AE3" s="2" t="n">
        <v>42243000</v>
      </c>
      <c r="AF3" s="2" t="n">
        <v>384803000</v>
      </c>
      <c r="AG3" s="2" t="n">
        <v>0</v>
      </c>
      <c r="AH3" s="2" t="n">
        <v>43993000</v>
      </c>
      <c r="AI3" s="2" t="n">
        <v>0</v>
      </c>
      <c r="AJ3" s="2" t="n">
        <v>524876000</v>
      </c>
      <c r="AK3" s="2" t="n">
        <v>0</v>
      </c>
      <c r="AL3" s="2" t="n">
        <v>996018000</v>
      </c>
      <c r="AM3" s="2" t="n">
        <v>0</v>
      </c>
      <c r="AN3" s="2" t="n">
        <v>195226000</v>
      </c>
      <c r="AO3" s="2" t="n">
        <v>41548000</v>
      </c>
      <c r="AP3" s="2" t="n">
        <v>0</v>
      </c>
      <c r="AQ3" s="2" t="n">
        <v>13685000</v>
      </c>
      <c r="AR3" s="2" t="n">
        <v>250459000</v>
      </c>
      <c r="AS3" s="2" t="n">
        <v>0</v>
      </c>
      <c r="AT3" s="2" t="n">
        <v>239219000</v>
      </c>
      <c r="AU3" s="2" t="n">
        <v>1246477000</v>
      </c>
      <c r="AV3" s="2" t="n">
        <v>0</v>
      </c>
      <c r="AW3" s="2" t="n">
        <v>0</v>
      </c>
      <c r="AX3" s="2" t="n">
        <v>2339000</v>
      </c>
      <c r="AY3" s="2" t="n">
        <v>-5187423000</v>
      </c>
      <c r="AZ3" s="2" t="n">
        <v>10193970000</v>
      </c>
      <c r="BA3" s="2" t="n">
        <v>-5611000</v>
      </c>
      <c r="BB3" s="2" t="n">
        <v>0</v>
      </c>
      <c r="BC3" s="2" t="n">
        <v>5003275000</v>
      </c>
      <c r="BD3" s="2" t="n">
        <v>5094407000</v>
      </c>
      <c r="BE3" s="2" t="n">
        <v>91132000</v>
      </c>
      <c r="BF3" s="2" t="n">
        <v>6340884000</v>
      </c>
      <c r="BG3" s="2" t="n">
        <v>3131463000</v>
      </c>
      <c r="BH3" s="2" t="n">
        <v>239219000</v>
      </c>
      <c r="BI3" s="2" t="n">
        <v>-1859305000</v>
      </c>
    </row>
    <row r="4">
      <c r="A4" s="2" t="inlineStr">
        <is>
          <t>2023-12-31</t>
        </is>
      </c>
      <c r="B4" s="2" t="inlineStr">
        <is>
          <t>PLTR</t>
        </is>
      </c>
      <c r="C4" s="2" t="inlineStr">
        <is>
          <t>USD</t>
        </is>
      </c>
      <c r="D4" s="2" t="inlineStr">
        <is>
          <t>0001321655</t>
        </is>
      </c>
      <c r="E4" s="2" t="inlineStr">
        <is>
          <t>2024-02-20</t>
        </is>
      </c>
      <c r="F4" s="2" t="inlineStr">
        <is>
          <t>2024-02-20 06:15:02</t>
        </is>
      </c>
      <c r="G4" s="2" t="inlineStr">
        <is>
          <t>2023</t>
        </is>
      </c>
      <c r="H4" s="2" t="inlineStr">
        <is>
          <t>FY</t>
        </is>
      </c>
      <c r="I4" s="2" t="n">
        <v>831047000</v>
      </c>
      <c r="J4" s="2" t="n">
        <v>2843132000</v>
      </c>
      <c r="K4" s="2" t="n">
        <v>3674179000</v>
      </c>
      <c r="L4" s="2" t="n">
        <v>364784000</v>
      </c>
      <c r="M4" s="2" t="n">
        <v>364784000</v>
      </c>
      <c r="N4" s="2" t="n">
        <v>0</v>
      </c>
      <c r="O4" s="2" t="n">
        <v>0</v>
      </c>
      <c r="P4" s="2" t="n">
        <v>0</v>
      </c>
      <c r="Q4" s="2" t="n">
        <v>99655000</v>
      </c>
      <c r="R4" s="2" t="n">
        <v>4138618000</v>
      </c>
      <c r="S4" s="2" t="n">
        <v>230621000</v>
      </c>
      <c r="T4" s="2" t="n">
        <v>0</v>
      </c>
      <c r="U4" s="2" t="n">
        <v>25902000</v>
      </c>
      <c r="V4" s="2" t="n">
        <v>25902000</v>
      </c>
      <c r="W4" s="2" t="n">
        <v>0</v>
      </c>
      <c r="X4" s="2" t="n">
        <v>0</v>
      </c>
      <c r="Y4" s="2" t="n">
        <v>127284000</v>
      </c>
      <c r="Z4" s="2" t="n">
        <v>383807000</v>
      </c>
      <c r="AA4" s="2" t="n">
        <v>0</v>
      </c>
      <c r="AB4" s="2" t="n">
        <v>4522425000</v>
      </c>
      <c r="AC4" s="2" t="n">
        <v>59379000</v>
      </c>
      <c r="AD4" s="2" t="n">
        <v>12122000</v>
      </c>
      <c r="AE4" s="2" t="n">
        <v>47257000</v>
      </c>
      <c r="AF4" s="2" t="n">
        <v>175734000</v>
      </c>
      <c r="AG4" s="2" t="n">
        <v>0</v>
      </c>
      <c r="AH4" s="2" t="n">
        <v>54176000</v>
      </c>
      <c r="AI4" s="2" t="n">
        <v>47257000</v>
      </c>
      <c r="AJ4" s="2" t="n">
        <v>456729000</v>
      </c>
      <c r="AK4" s="2" t="n">
        <v>0</v>
      </c>
      <c r="AL4" s="2" t="n">
        <v>746018000</v>
      </c>
      <c r="AM4" s="2" t="n">
        <v>0</v>
      </c>
      <c r="AN4" s="2" t="n">
        <v>175216000</v>
      </c>
      <c r="AO4" s="2" t="n">
        <v>29524000</v>
      </c>
      <c r="AP4" s="2" t="n">
        <v>0</v>
      </c>
      <c r="AQ4" s="2" t="n">
        <v>10702000</v>
      </c>
      <c r="AR4" s="2" t="n">
        <v>215442000</v>
      </c>
      <c r="AS4" s="2" t="n">
        <v>0</v>
      </c>
      <c r="AT4" s="2" t="n">
        <v>229392000</v>
      </c>
      <c r="AU4" s="2" t="n">
        <v>961460000</v>
      </c>
      <c r="AV4" s="2" t="n">
        <v>0</v>
      </c>
      <c r="AW4" s="2" t="n">
        <v>0</v>
      </c>
      <c r="AX4" s="2" t="n">
        <v>2200000</v>
      </c>
      <c r="AY4" s="2" t="n">
        <v>-5649613000</v>
      </c>
      <c r="AZ4" s="2" t="n">
        <v>9122173000</v>
      </c>
      <c r="BA4" s="2" t="n">
        <v>801000</v>
      </c>
      <c r="BB4" s="2" t="n">
        <v>0</v>
      </c>
      <c r="BC4" s="2" t="n">
        <v>3475561000</v>
      </c>
      <c r="BD4" s="2" t="n">
        <v>3560965000</v>
      </c>
      <c r="BE4" s="2" t="n">
        <v>85404000</v>
      </c>
      <c r="BF4" s="2" t="n">
        <v>4522425000</v>
      </c>
      <c r="BG4" s="2" t="n">
        <v>2843132000</v>
      </c>
      <c r="BH4" s="2" t="n">
        <v>229392000</v>
      </c>
      <c r="BI4" s="2" t="n">
        <v>-601655000</v>
      </c>
    </row>
    <row r="5">
      <c r="A5" s="2" t="inlineStr">
        <is>
          <t>2022-12-31</t>
        </is>
      </c>
      <c r="B5" s="2" t="inlineStr">
        <is>
          <t>PLTR</t>
        </is>
      </c>
      <c r="C5" s="2" t="inlineStr">
        <is>
          <t>USD</t>
        </is>
      </c>
      <c r="D5" s="2" t="inlineStr">
        <is>
          <t>0001321655</t>
        </is>
      </c>
      <c r="E5" s="2" t="inlineStr">
        <is>
          <t>2023-02-21</t>
        </is>
      </c>
      <c r="F5" s="2" t="inlineStr">
        <is>
          <t>2023-02-21 16:35:44</t>
        </is>
      </c>
      <c r="G5" s="2" t="inlineStr">
        <is>
          <t>2022</t>
        </is>
      </c>
      <c r="H5" s="2" t="inlineStr">
        <is>
          <t>FY</t>
        </is>
      </c>
      <c r="I5" s="2" t="n">
        <v>2598540000</v>
      </c>
      <c r="J5" s="2" t="n">
        <v>35135000</v>
      </c>
      <c r="K5" s="2" t="n">
        <v>2633675000</v>
      </c>
      <c r="L5" s="2" t="n">
        <v>258346000</v>
      </c>
      <c r="M5" s="2" t="n">
        <v>258346000</v>
      </c>
      <c r="N5" s="2" t="n">
        <v>0</v>
      </c>
      <c r="O5" s="2" t="n">
        <v>0</v>
      </c>
      <c r="P5" s="2" t="n">
        <v>0</v>
      </c>
      <c r="Q5" s="2" t="n">
        <v>149556000</v>
      </c>
      <c r="R5" s="2" t="n">
        <v>3041577000</v>
      </c>
      <c r="S5" s="2" t="n">
        <v>269410000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150252000</v>
      </c>
      <c r="Z5" s="2" t="n">
        <v>419662000</v>
      </c>
      <c r="AA5" s="2" t="n">
        <v>0</v>
      </c>
      <c r="AB5" s="2" t="n">
        <v>3461239000</v>
      </c>
      <c r="AC5" s="2" t="n">
        <v>86114000</v>
      </c>
      <c r="AD5" s="2" t="n">
        <v>44788000</v>
      </c>
      <c r="AE5" s="2" t="n">
        <v>41326000</v>
      </c>
      <c r="AF5" s="2" t="n">
        <v>131389000</v>
      </c>
      <c r="AG5" s="2" t="n">
        <v>0</v>
      </c>
      <c r="AH5" s="2" t="n">
        <v>45099000</v>
      </c>
      <c r="AI5" s="2" t="n">
        <v>41326000</v>
      </c>
      <c r="AJ5" s="2" t="n">
        <v>325339000</v>
      </c>
      <c r="AK5" s="2" t="n">
        <v>0</v>
      </c>
      <c r="AL5" s="2" t="n">
        <v>587941000</v>
      </c>
      <c r="AM5" s="2" t="n">
        <v>0</v>
      </c>
      <c r="AN5" s="2" t="n">
        <v>204305000</v>
      </c>
      <c r="AO5" s="2" t="n">
        <v>13901000</v>
      </c>
      <c r="AP5" s="2" t="n">
        <v>0</v>
      </c>
      <c r="AQ5" s="2" t="n">
        <v>12655000</v>
      </c>
      <c r="AR5" s="2" t="n">
        <v>230861000</v>
      </c>
      <c r="AS5" s="2" t="n">
        <v>0</v>
      </c>
      <c r="AT5" s="2" t="n">
        <v>249404000</v>
      </c>
      <c r="AU5" s="2" t="n">
        <v>818802000</v>
      </c>
      <c r="AV5" s="2" t="n">
        <v>0</v>
      </c>
      <c r="AW5" s="2" t="n">
        <v>0</v>
      </c>
      <c r="AX5" s="2" t="n">
        <v>2099000</v>
      </c>
      <c r="AY5" s="2" t="n">
        <v>-5859438000</v>
      </c>
      <c r="AZ5" s="2" t="n">
        <v>8427998000</v>
      </c>
      <c r="BA5" s="2" t="n">
        <v>-5333000</v>
      </c>
      <c r="BB5" s="2" t="n">
        <v>0</v>
      </c>
      <c r="BC5" s="2" t="n">
        <v>2565326000</v>
      </c>
      <c r="BD5" s="2" t="n">
        <v>2642437000</v>
      </c>
      <c r="BE5" s="2" t="n">
        <v>77111000</v>
      </c>
      <c r="BF5" s="2" t="n">
        <v>3461239000</v>
      </c>
      <c r="BG5" s="2" t="n">
        <v>35135000</v>
      </c>
      <c r="BH5" s="2" t="n">
        <v>249404000</v>
      </c>
      <c r="BI5" s="2" t="n">
        <v>-2349136000</v>
      </c>
    </row>
    <row r="6">
      <c r="A6" s="2" t="inlineStr">
        <is>
          <t>2021-12-31</t>
        </is>
      </c>
      <c r="B6" s="2" t="inlineStr">
        <is>
          <t>PLTR</t>
        </is>
      </c>
      <c r="C6" s="2" t="inlineStr">
        <is>
          <t>USD</t>
        </is>
      </c>
      <c r="D6" s="2" t="inlineStr">
        <is>
          <t>0001321655</t>
        </is>
      </c>
      <c r="E6" s="2" t="inlineStr">
        <is>
          <t>2022-02-24</t>
        </is>
      </c>
      <c r="F6" s="2" t="inlineStr">
        <is>
          <t>2022-02-24 06:20:34</t>
        </is>
      </c>
      <c r="G6" s="2" t="inlineStr">
        <is>
          <t>2021</t>
        </is>
      </c>
      <c r="H6" s="2" t="inlineStr">
        <is>
          <t>FY</t>
        </is>
      </c>
      <c r="I6" s="2" t="n">
        <v>2290674000</v>
      </c>
      <c r="J6" s="2" t="n">
        <v>234153000</v>
      </c>
      <c r="K6" s="2" t="n">
        <v>2524827000</v>
      </c>
      <c r="L6" s="2" t="n">
        <v>190923000</v>
      </c>
      <c r="M6" s="2" t="n">
        <v>190923000</v>
      </c>
      <c r="N6" s="2" t="n">
        <v>0</v>
      </c>
      <c r="O6" s="2" t="n">
        <v>0</v>
      </c>
      <c r="P6" s="2" t="n">
        <v>110872000</v>
      </c>
      <c r="Q6" s="2" t="n">
        <v>36628000</v>
      </c>
      <c r="R6" s="2" t="n">
        <v>2863250000</v>
      </c>
      <c r="S6" s="2" t="n">
        <v>248202000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135998000</v>
      </c>
      <c r="Z6" s="2" t="n">
        <v>384200000</v>
      </c>
      <c r="AA6" s="2" t="n">
        <v>0</v>
      </c>
      <c r="AB6" s="2" t="n">
        <v>3247450000</v>
      </c>
      <c r="AC6" s="2" t="n">
        <v>97457000</v>
      </c>
      <c r="AD6" s="2" t="n">
        <v>74907000</v>
      </c>
      <c r="AE6" s="2" t="n">
        <v>22550000</v>
      </c>
      <c r="AF6" s="2" t="n">
        <v>133256000</v>
      </c>
      <c r="AG6" s="2" t="n">
        <v>0</v>
      </c>
      <c r="AH6" s="2" t="n">
        <v>39927000</v>
      </c>
      <c r="AI6" s="2" t="n">
        <v>22550000</v>
      </c>
      <c r="AJ6" s="2" t="n">
        <v>389421000</v>
      </c>
      <c r="AK6" s="2" t="n">
        <v>0</v>
      </c>
      <c r="AL6" s="2" t="n">
        <v>660061000</v>
      </c>
      <c r="AM6" s="2" t="n">
        <v>0</v>
      </c>
      <c r="AN6" s="2" t="n">
        <v>220146000</v>
      </c>
      <c r="AO6" s="2" t="n">
        <v>73916000</v>
      </c>
      <c r="AP6" s="2" t="n">
        <v>0</v>
      </c>
      <c r="AQ6" s="2" t="n">
        <v>2297000</v>
      </c>
      <c r="AR6" s="2" t="n">
        <v>296359000</v>
      </c>
      <c r="AS6" s="2" t="n">
        <v>0</v>
      </c>
      <c r="AT6" s="2" t="n">
        <v>260073000</v>
      </c>
      <c r="AU6" s="2" t="n">
        <v>956420000</v>
      </c>
      <c r="AV6" s="2" t="n">
        <v>0</v>
      </c>
      <c r="AW6" s="2" t="n">
        <v>0</v>
      </c>
      <c r="AX6" s="2" t="n">
        <v>2027000</v>
      </c>
      <c r="AY6" s="2" t="n">
        <v>-5485733000</v>
      </c>
      <c r="AZ6" s="2" t="n">
        <v>7777085000</v>
      </c>
      <c r="BA6" s="2" t="n">
        <v>-2349000</v>
      </c>
      <c r="BB6" s="2" t="n">
        <v>0</v>
      </c>
      <c r="BC6" s="2" t="n">
        <v>2291030000</v>
      </c>
      <c r="BD6" s="2" t="n">
        <v>2291030000</v>
      </c>
      <c r="BE6" s="2" t="n">
        <v>0</v>
      </c>
      <c r="BF6" s="2" t="n">
        <v>3247450000</v>
      </c>
      <c r="BG6" s="2" t="n">
        <v>234153000</v>
      </c>
      <c r="BH6" s="2" t="n">
        <v>260073000</v>
      </c>
      <c r="BI6" s="2" t="n">
        <v>-2030601000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  <col width="8" customWidth="1" min="8" max="8"/>
    <col width="12" customWidth="1" min="9" max="9"/>
    <col width="28" customWidth="1" min="10" max="10"/>
    <col width="19" customWidth="1" min="11" max="11"/>
    <col width="24" customWidth="1" min="12" max="12"/>
    <col width="24" customWidth="1" min="13" max="13"/>
    <col width="21" customWidth="1" min="14" max="14"/>
    <col width="11" customWidth="1" min="15" max="15"/>
    <col width="18" customWidth="1" min="16" max="16"/>
    <col width="21" customWidth="1" min="17" max="17"/>
    <col width="19" customWidth="1" min="18" max="18"/>
    <col width="28" customWidth="1" min="19" max="19"/>
    <col width="28" customWidth="1" min="20" max="20"/>
    <col width="17" customWidth="1" min="21" max="21"/>
    <col width="24" customWidth="1" min="22" max="22"/>
    <col width="28" customWidth="1" min="23" max="23"/>
    <col width="26" customWidth="1" min="24" max="24"/>
    <col width="28" customWidth="1" min="25" max="25"/>
    <col width="17" customWidth="1" min="26" max="26"/>
    <col width="25" customWidth="1" min="27" max="27"/>
    <col width="26" customWidth="1" min="28" max="28"/>
    <col width="18" customWidth="1" min="29" max="29"/>
    <col width="24" customWidth="1" min="30" max="30"/>
    <col width="21" customWidth="1" min="31" max="31"/>
    <col width="24" customWidth="1" min="32" max="32"/>
    <col width="27" customWidth="1" min="33" max="33"/>
    <col width="18" customWidth="1" min="34" max="34"/>
    <col width="21" customWidth="1" min="35" max="35"/>
    <col width="24" customWidth="1" min="36" max="36"/>
    <col width="26" customWidth="1" min="37" max="37"/>
    <col width="28" customWidth="1" min="38" max="38"/>
    <col width="28" customWidth="1" min="39" max="39"/>
    <col width="17" customWidth="1" min="40" max="40"/>
    <col width="19" customWidth="1" min="41" max="41"/>
    <col width="25" customWidth="1" min="42" max="42"/>
    <col width="19" customWidth="1" min="43" max="43"/>
    <col width="20" customWidth="1" min="44" max="44"/>
    <col width="14" customWidth="1" min="45" max="45"/>
    <col width="17" customWidth="1" min="46" max="46"/>
    <col width="14" customWidth="1" min="47" max="4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reportedCurrency</t>
        </is>
      </c>
      <c r="D1" s="1" t="inlineStr">
        <is>
          <t>cik</t>
        </is>
      </c>
      <c r="E1" s="1" t="inlineStr">
        <is>
          <t>filingDate</t>
        </is>
      </c>
      <c r="F1" s="1" t="inlineStr">
        <is>
          <t>acceptedDate</t>
        </is>
      </c>
      <c r="G1" s="1" t="inlineStr">
        <is>
          <t>fiscalYear</t>
        </is>
      </c>
      <c r="H1" s="1" t="inlineStr">
        <is>
          <t>period</t>
        </is>
      </c>
      <c r="I1" s="1" t="inlineStr">
        <is>
          <t>netIncome</t>
        </is>
      </c>
      <c r="J1" s="1" t="inlineStr">
        <is>
          <t>depreciationAndAmortization</t>
        </is>
      </c>
      <c r="K1" s="1" t="inlineStr">
        <is>
          <t>deferredIncomeTax</t>
        </is>
      </c>
      <c r="L1" s="1" t="inlineStr">
        <is>
          <t>stockBasedCompensation</t>
        </is>
      </c>
      <c r="M1" s="1" t="inlineStr">
        <is>
          <t>changeInWorkingCapital</t>
        </is>
      </c>
      <c r="N1" s="1" t="inlineStr">
        <is>
          <t>accountsReceivables</t>
        </is>
      </c>
      <c r="O1" s="1" t="inlineStr">
        <is>
          <t>inventory</t>
        </is>
      </c>
      <c r="P1" s="1" t="inlineStr">
        <is>
          <t>accountsPayables</t>
        </is>
      </c>
      <c r="Q1" s="1" t="inlineStr">
        <is>
          <t>otherWorkingCapital</t>
        </is>
      </c>
      <c r="R1" s="1" t="inlineStr">
        <is>
          <t>otherNonCashItems</t>
        </is>
      </c>
      <c r="S1" s="1" t="inlineStr">
        <is>
          <t>netCashProvidedByOperatingActivities</t>
        </is>
      </c>
      <c r="T1" s="1" t="inlineStr">
        <is>
          <t>investmentsInPropertyPlantAndEquipment</t>
        </is>
      </c>
      <c r="U1" s="1" t="inlineStr">
        <is>
          <t>acquisitionsNet</t>
        </is>
      </c>
      <c r="V1" s="1" t="inlineStr">
        <is>
          <t>purchasesOfInvestments</t>
        </is>
      </c>
      <c r="W1" s="1" t="inlineStr">
        <is>
          <t>salesMaturitiesOfInvestments</t>
        </is>
      </c>
      <c r="X1" s="1" t="inlineStr">
        <is>
          <t>otherInvestingActivities</t>
        </is>
      </c>
      <c r="Y1" s="1" t="inlineStr">
        <is>
          <t>netCashProvidedByInvestingActivities</t>
        </is>
      </c>
      <c r="Z1" s="1" t="inlineStr">
        <is>
          <t>netDebtIssuance</t>
        </is>
      </c>
      <c r="AA1" s="1" t="inlineStr">
        <is>
          <t>longTermNetDebtIssuance</t>
        </is>
      </c>
      <c r="AB1" s="1" t="inlineStr">
        <is>
          <t>shortTermNetDebtIssuance</t>
        </is>
      </c>
      <c r="AC1" s="1" t="inlineStr">
        <is>
          <t>netStockIssuance</t>
        </is>
      </c>
      <c r="AD1" s="1" t="inlineStr">
        <is>
          <t>netCommonStockIssuance</t>
        </is>
      </c>
      <c r="AE1" s="1" t="inlineStr">
        <is>
          <t>commonStockIssuance</t>
        </is>
      </c>
      <c r="AF1" s="1" t="inlineStr">
        <is>
          <t>commonStockRepurchased</t>
        </is>
      </c>
      <c r="AG1" s="1" t="inlineStr">
        <is>
          <t>netPreferredStockIssuance</t>
        </is>
      </c>
      <c r="AH1" s="1" t="inlineStr">
        <is>
          <t>netDividendsPaid</t>
        </is>
      </c>
      <c r="AI1" s="1" t="inlineStr">
        <is>
          <t>commonDividendsPaid</t>
        </is>
      </c>
      <c r="AJ1" s="1" t="inlineStr">
        <is>
          <t>preferredDividendsPaid</t>
        </is>
      </c>
      <c r="AK1" s="1" t="inlineStr">
        <is>
          <t>otherFinancingActivities</t>
        </is>
      </c>
      <c r="AL1" s="1" t="inlineStr">
        <is>
          <t>netCashProvidedByFinancingActivities</t>
        </is>
      </c>
      <c r="AM1" s="1" t="inlineStr">
        <is>
          <t>effectOfForexChangesOnCash</t>
        </is>
      </c>
      <c r="AN1" s="1" t="inlineStr">
        <is>
          <t>netChangeInCash</t>
        </is>
      </c>
      <c r="AO1" s="1" t="inlineStr">
        <is>
          <t>cashAtEndOfPeriod</t>
        </is>
      </c>
      <c r="AP1" s="1" t="inlineStr">
        <is>
          <t>cashAtBeginningOfPeriod</t>
        </is>
      </c>
      <c r="AQ1" s="1" t="inlineStr">
        <is>
          <t>operatingCashFlow</t>
        </is>
      </c>
      <c r="AR1" s="1" t="inlineStr">
        <is>
          <t>capitalExpenditure</t>
        </is>
      </c>
      <c r="AS1" s="1" t="inlineStr">
        <is>
          <t>freeCashFlow</t>
        </is>
      </c>
      <c r="AT1" s="1" t="inlineStr">
        <is>
          <t>incomeTaxesPaid</t>
        </is>
      </c>
      <c r="AU1" s="1" t="inlineStr">
        <is>
          <t>interestPaid</t>
        </is>
      </c>
    </row>
    <row r="2">
      <c r="A2" s="2" t="inlineStr">
        <is>
          <t>2025-12-31</t>
        </is>
      </c>
      <c r="B2" s="2" t="inlineStr">
        <is>
          <t>PLTR</t>
        </is>
      </c>
      <c r="C2" s="2" t="inlineStr">
        <is>
          <t>USD</t>
        </is>
      </c>
      <c r="D2" s="2" t="inlineStr">
        <is>
          <t>0001321655</t>
        </is>
      </c>
      <c r="E2" s="2" t="inlineStr">
        <is>
          <t>2026-02-17</t>
        </is>
      </c>
      <c r="F2" s="2" t="inlineStr">
        <is>
          <t>2026-02-17 06:14:19</t>
        </is>
      </c>
      <c r="G2" s="2" t="inlineStr">
        <is>
          <t>2025</t>
        </is>
      </c>
      <c r="H2" s="2" t="inlineStr">
        <is>
          <t>FY</t>
        </is>
      </c>
      <c r="I2" s="2" t="n">
        <v>1634644000</v>
      </c>
      <c r="J2" s="2" t="n">
        <v>26145000</v>
      </c>
      <c r="K2" s="2" t="n">
        <v>0</v>
      </c>
      <c r="L2" s="2" t="n">
        <v>684033000</v>
      </c>
      <c r="M2" s="2" t="n">
        <v>-209963000</v>
      </c>
      <c r="N2" s="2" t="n">
        <v>-450429000</v>
      </c>
      <c r="O2" s="2" t="n">
        <v>0</v>
      </c>
      <c r="P2" s="2" t="n">
        <v>4659000</v>
      </c>
      <c r="Q2" s="2" t="n">
        <v>235807000</v>
      </c>
      <c r="R2" s="2" t="n">
        <v>-386000</v>
      </c>
      <c r="S2" s="2" t="n">
        <v>2134473000</v>
      </c>
      <c r="T2" s="2" t="n">
        <v>-33882000</v>
      </c>
      <c r="U2" s="2" t="n">
        <v>0</v>
      </c>
      <c r="V2" s="2" t="n">
        <v>-7774984000</v>
      </c>
      <c r="W2" s="2" t="n">
        <v>5026315000</v>
      </c>
      <c r="X2" s="2" t="n">
        <v>-1000000</v>
      </c>
      <c r="Y2" s="2" t="n">
        <v>-2783551000</v>
      </c>
      <c r="Z2" s="2" t="n">
        <v>0</v>
      </c>
      <c r="AA2" s="2" t="n">
        <v>0</v>
      </c>
      <c r="AB2" s="2" t="n">
        <v>0</v>
      </c>
      <c r="AC2" s="2" t="n">
        <v>54122000</v>
      </c>
      <c r="AD2" s="2" t="n">
        <v>54122000</v>
      </c>
      <c r="AE2" s="2" t="n">
        <v>129107000</v>
      </c>
      <c r="AF2" s="2" t="n">
        <v>-74985000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-81032000</v>
      </c>
      <c r="AL2" s="2" t="n">
        <v>-26910000</v>
      </c>
      <c r="AM2" s="2" t="n">
        <v>-6444000</v>
      </c>
      <c r="AN2" s="2" t="n">
        <v>-682432000</v>
      </c>
      <c r="AO2" s="2" t="n">
        <v>1423796000</v>
      </c>
      <c r="AP2" s="2" t="n">
        <v>2106228000</v>
      </c>
      <c r="AQ2" s="2" t="n">
        <v>2134473000</v>
      </c>
      <c r="AR2" s="2" t="n">
        <v>-33882000</v>
      </c>
      <c r="AS2" s="2" t="n">
        <v>2100591000</v>
      </c>
      <c r="AT2" s="2" t="n">
        <v>0</v>
      </c>
      <c r="AU2" s="2" t="n">
        <v>0</v>
      </c>
    </row>
    <row r="3">
      <c r="A3" s="2" t="inlineStr">
        <is>
          <t>2024-12-31</t>
        </is>
      </c>
      <c r="B3" s="2" t="inlineStr">
        <is>
          <t>PLTR</t>
        </is>
      </c>
      <c r="C3" s="2" t="inlineStr">
        <is>
          <t>USD</t>
        </is>
      </c>
      <c r="D3" s="2" t="inlineStr">
        <is>
          <t>0001321655</t>
        </is>
      </c>
      <c r="E3" s="2" t="inlineStr">
        <is>
          <t>2025-02-18</t>
        </is>
      </c>
      <c r="F3" s="2" t="inlineStr">
        <is>
          <t>2025-02-18 06:06:00</t>
        </is>
      </c>
      <c r="G3" s="2" t="inlineStr">
        <is>
          <t>2024</t>
        </is>
      </c>
      <c r="H3" s="2" t="inlineStr">
        <is>
          <t>FY</t>
        </is>
      </c>
      <c r="I3" s="2" t="n">
        <v>467918000</v>
      </c>
      <c r="J3" s="2" t="n">
        <v>31587000</v>
      </c>
      <c r="K3" s="2" t="n">
        <v>0</v>
      </c>
      <c r="L3" s="2" t="n">
        <v>691638000</v>
      </c>
      <c r="M3" s="2" t="n">
        <v>-70097000</v>
      </c>
      <c r="N3" s="2" t="n">
        <v>-211157000</v>
      </c>
      <c r="O3" s="2" t="n">
        <v>0</v>
      </c>
      <c r="P3" s="2" t="n">
        <v>-18841000</v>
      </c>
      <c r="Q3" s="2" t="n">
        <v>159901000</v>
      </c>
      <c r="R3" s="2" t="n">
        <v>32819000</v>
      </c>
      <c r="S3" s="2" t="n">
        <v>1153865000</v>
      </c>
      <c r="T3" s="2" t="n">
        <v>-12634000</v>
      </c>
      <c r="U3" s="2" t="n">
        <v>0</v>
      </c>
      <c r="V3" s="2" t="n">
        <v>-5395913000</v>
      </c>
      <c r="W3" s="2" t="n">
        <v>5073507000</v>
      </c>
      <c r="X3" s="2" t="n">
        <v>-5615000</v>
      </c>
      <c r="Y3" s="2" t="n">
        <v>-340655000</v>
      </c>
      <c r="Z3" s="2" t="n">
        <v>0</v>
      </c>
      <c r="AA3" s="2" t="n">
        <v>0</v>
      </c>
      <c r="AB3" s="2" t="n">
        <v>0</v>
      </c>
      <c r="AC3" s="2" t="n">
        <v>681200000</v>
      </c>
      <c r="AD3" s="2" t="n">
        <v>681200000</v>
      </c>
      <c r="AE3" s="2" t="n">
        <v>745396000</v>
      </c>
      <c r="AF3" s="2" t="n">
        <v>-64196000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-217836000</v>
      </c>
      <c r="AL3" s="2" t="n">
        <v>463364000</v>
      </c>
      <c r="AM3" s="2" t="n">
        <v>-6745000</v>
      </c>
      <c r="AN3" s="2" t="n">
        <v>1269829000</v>
      </c>
      <c r="AO3" s="2" t="n">
        <v>2119936000</v>
      </c>
      <c r="AP3" s="2" t="n">
        <v>850107000</v>
      </c>
      <c r="AQ3" s="2" t="n">
        <v>1153865000</v>
      </c>
      <c r="AR3" s="2" t="n">
        <v>-12634000</v>
      </c>
      <c r="AS3" s="2" t="n">
        <v>1141231000</v>
      </c>
      <c r="AT3" s="2" t="n">
        <v>16179000</v>
      </c>
      <c r="AU3" s="2" t="n">
        <v>0</v>
      </c>
    </row>
    <row r="4">
      <c r="A4" s="2" t="inlineStr">
        <is>
          <t>2023-12-31</t>
        </is>
      </c>
      <c r="B4" s="2" t="inlineStr">
        <is>
          <t>PLTR</t>
        </is>
      </c>
      <c r="C4" s="2" t="inlineStr">
        <is>
          <t>USD</t>
        </is>
      </c>
      <c r="D4" s="2" t="inlineStr">
        <is>
          <t>0001321655</t>
        </is>
      </c>
      <c r="E4" s="2" t="inlineStr">
        <is>
          <t>2024-02-20</t>
        </is>
      </c>
      <c r="F4" s="2" t="inlineStr">
        <is>
          <t>2024-02-20 06:15:02</t>
        </is>
      </c>
      <c r="G4" s="2" t="inlineStr">
        <is>
          <t>2023</t>
        </is>
      </c>
      <c r="H4" s="2" t="inlineStr">
        <is>
          <t>FY</t>
        </is>
      </c>
      <c r="I4" s="2" t="n">
        <v>217375000</v>
      </c>
      <c r="J4" s="2" t="n">
        <v>33354000</v>
      </c>
      <c r="K4" s="2" t="n">
        <v>-4806000</v>
      </c>
      <c r="L4" s="2" t="n">
        <v>475903000</v>
      </c>
      <c r="M4" s="2" t="n">
        <v>6236000</v>
      </c>
      <c r="N4" s="2" t="n">
        <v>-106159000</v>
      </c>
      <c r="O4" s="2" t="n">
        <v>0</v>
      </c>
      <c r="P4" s="2" t="n">
        <v>-31832000</v>
      </c>
      <c r="Q4" s="2" t="n">
        <v>144227000</v>
      </c>
      <c r="R4" s="2" t="n">
        <v>-15879000</v>
      </c>
      <c r="S4" s="2" t="n">
        <v>712183000</v>
      </c>
      <c r="T4" s="2" t="n">
        <v>-15114000</v>
      </c>
      <c r="U4" s="2" t="n">
        <v>0</v>
      </c>
      <c r="V4" s="2" t="n">
        <v>-5636406000</v>
      </c>
      <c r="W4" s="2" t="n">
        <v>2889268000</v>
      </c>
      <c r="X4" s="2" t="n">
        <v>51072000</v>
      </c>
      <c r="Y4" s="2" t="n">
        <v>-2711180000</v>
      </c>
      <c r="Z4" s="2" t="n">
        <v>0</v>
      </c>
      <c r="AA4" s="2" t="n">
        <v>0</v>
      </c>
      <c r="AB4" s="2" t="n">
        <v>0</v>
      </c>
      <c r="AC4" s="2" t="n">
        <v>218238000</v>
      </c>
      <c r="AD4" s="2" t="n">
        <v>218238000</v>
      </c>
      <c r="AE4" s="2" t="n">
        <v>218238000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601000</v>
      </c>
      <c r="AL4" s="2" t="n">
        <v>218839000</v>
      </c>
      <c r="AM4" s="2" t="n">
        <v>2930000</v>
      </c>
      <c r="AN4" s="2" t="n">
        <v>-1777228000</v>
      </c>
      <c r="AO4" s="2" t="n">
        <v>850107000</v>
      </c>
      <c r="AP4" s="2" t="n">
        <v>2627335000</v>
      </c>
      <c r="AQ4" s="2" t="n">
        <v>712183000</v>
      </c>
      <c r="AR4" s="2" t="n">
        <v>-15114000</v>
      </c>
      <c r="AS4" s="2" t="n">
        <v>697069000</v>
      </c>
      <c r="AT4" s="2" t="n">
        <v>13515000</v>
      </c>
      <c r="AU4" s="2" t="n">
        <v>0</v>
      </c>
    </row>
    <row r="5">
      <c r="A5" s="2" t="inlineStr">
        <is>
          <t>2022-12-31</t>
        </is>
      </c>
      <c r="B5" s="2" t="inlineStr">
        <is>
          <t>PLTR</t>
        </is>
      </c>
      <c r="C5" s="2" t="inlineStr">
        <is>
          <t>USD</t>
        </is>
      </c>
      <c r="D5" s="2" t="inlineStr">
        <is>
          <t>0001321655</t>
        </is>
      </c>
      <c r="E5" s="2" t="inlineStr">
        <is>
          <t>2023-02-21</t>
        </is>
      </c>
      <c r="F5" s="2" t="inlineStr">
        <is>
          <t>2023-02-21 16:35:44</t>
        </is>
      </c>
      <c r="G5" s="2" t="inlineStr">
        <is>
          <t>2022</t>
        </is>
      </c>
      <c r="H5" s="2" t="inlineStr">
        <is>
          <t>FY</t>
        </is>
      </c>
      <c r="I5" s="2" t="n">
        <v>-371094000</v>
      </c>
      <c r="J5" s="2" t="n">
        <v>22522000</v>
      </c>
      <c r="K5" s="2" t="n">
        <v>-174000</v>
      </c>
      <c r="L5" s="2" t="n">
        <v>564798000</v>
      </c>
      <c r="M5" s="2" t="n">
        <v>-261217000</v>
      </c>
      <c r="N5" s="2" t="n">
        <v>-72819000</v>
      </c>
      <c r="O5" s="2" t="n">
        <v>0</v>
      </c>
      <c r="P5" s="2" t="n">
        <v>-29859000</v>
      </c>
      <c r="Q5" s="2" t="n">
        <v>-158539000</v>
      </c>
      <c r="R5" s="2" t="n">
        <v>268902000</v>
      </c>
      <c r="S5" s="2" t="n">
        <v>223737000</v>
      </c>
      <c r="T5" s="2" t="n">
        <v>-40027000</v>
      </c>
      <c r="U5" s="2" t="n">
        <v>66708000</v>
      </c>
      <c r="V5" s="2" t="n">
        <v>-124500000</v>
      </c>
      <c r="W5" s="2" t="n">
        <v>52319000</v>
      </c>
      <c r="X5" s="2" t="n">
        <v>73000</v>
      </c>
      <c r="Y5" s="2" t="n">
        <v>-45427000</v>
      </c>
      <c r="Z5" s="2" t="n">
        <v>0</v>
      </c>
      <c r="AA5" s="2" t="n">
        <v>0</v>
      </c>
      <c r="AB5" s="2" t="n">
        <v>0</v>
      </c>
      <c r="AC5" s="2" t="n">
        <v>86089000</v>
      </c>
      <c r="AD5" s="2" t="n">
        <v>86089000</v>
      </c>
      <c r="AE5" s="2" t="n">
        <v>86089000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-93000</v>
      </c>
      <c r="AL5" s="2" t="n">
        <v>85996000</v>
      </c>
      <c r="AM5" s="2" t="n">
        <v>-3885000</v>
      </c>
      <c r="AN5" s="2" t="n">
        <v>260421000</v>
      </c>
      <c r="AO5" s="2" t="n">
        <v>2627335000</v>
      </c>
      <c r="AP5" s="2" t="n">
        <v>2366914000</v>
      </c>
      <c r="AQ5" s="2" t="n">
        <v>223737000</v>
      </c>
      <c r="AR5" s="2" t="n">
        <v>-40027000</v>
      </c>
      <c r="AS5" s="2" t="n">
        <v>183710000</v>
      </c>
      <c r="AT5" s="2" t="n">
        <v>2904000</v>
      </c>
      <c r="AU5" s="2" t="n">
        <v>5000</v>
      </c>
    </row>
    <row r="6">
      <c r="A6" s="2" t="inlineStr">
        <is>
          <t>2021-12-31</t>
        </is>
      </c>
      <c r="B6" s="2" t="inlineStr">
        <is>
          <t>PLTR</t>
        </is>
      </c>
      <c r="C6" s="2" t="inlineStr">
        <is>
          <t>USD</t>
        </is>
      </c>
      <c r="D6" s="2" t="inlineStr">
        <is>
          <t>0001321655</t>
        </is>
      </c>
      <c r="E6" s="2" t="inlineStr">
        <is>
          <t>2022-02-24</t>
        </is>
      </c>
      <c r="F6" s="2" t="inlineStr">
        <is>
          <t>2022-02-24 06:20:34</t>
        </is>
      </c>
      <c r="G6" s="2" t="inlineStr">
        <is>
          <t>2021</t>
        </is>
      </c>
      <c r="H6" s="2" t="inlineStr">
        <is>
          <t>FY</t>
        </is>
      </c>
      <c r="I6" s="2" t="n">
        <v>-520379000</v>
      </c>
      <c r="J6" s="2" t="n">
        <v>14897000</v>
      </c>
      <c r="K6" s="2" t="n">
        <v>43316000</v>
      </c>
      <c r="L6" s="2" t="n">
        <v>778215000</v>
      </c>
      <c r="M6" s="2" t="n">
        <v>-92097000</v>
      </c>
      <c r="N6" s="2" t="n">
        <v>-35237000</v>
      </c>
      <c r="O6" s="2" t="n">
        <v>0</v>
      </c>
      <c r="P6" s="2" t="n">
        <v>57767000</v>
      </c>
      <c r="Q6" s="2" t="n">
        <v>-114627000</v>
      </c>
      <c r="R6" s="2" t="n">
        <v>109899000</v>
      </c>
      <c r="S6" s="2" t="n">
        <v>333851000</v>
      </c>
      <c r="T6" s="2" t="n">
        <v>-12627000</v>
      </c>
      <c r="U6" s="2" t="n">
        <v>0</v>
      </c>
      <c r="V6" s="2" t="n">
        <v>-382265000</v>
      </c>
      <c r="W6" s="2" t="n">
        <v>851000</v>
      </c>
      <c r="X6" s="2" t="n">
        <v>-3871000</v>
      </c>
      <c r="Y6" s="2" t="n">
        <v>-397912000</v>
      </c>
      <c r="Z6" s="2" t="n">
        <v>-200000000</v>
      </c>
      <c r="AA6" s="2" t="n">
        <v>-200000000</v>
      </c>
      <c r="AB6" s="2" t="n">
        <v>0</v>
      </c>
      <c r="AC6" s="2" t="n">
        <v>507455000</v>
      </c>
      <c r="AD6" s="2" t="n">
        <v>507455000</v>
      </c>
      <c r="AE6" s="2" t="n">
        <v>507455000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-708000</v>
      </c>
      <c r="AL6" s="2" t="n">
        <v>306747000</v>
      </c>
      <c r="AM6" s="2" t="n">
        <v>-3918000</v>
      </c>
      <c r="AN6" s="2" t="n">
        <v>238768000</v>
      </c>
      <c r="AO6" s="2" t="n">
        <v>2366914000</v>
      </c>
      <c r="AP6" s="2" t="n">
        <v>2128146000</v>
      </c>
      <c r="AQ6" s="2" t="n">
        <v>333851000</v>
      </c>
      <c r="AR6" s="2" t="n">
        <v>-12627000</v>
      </c>
      <c r="AS6" s="2" t="n">
        <v>321224000</v>
      </c>
      <c r="AT6" s="2" t="n">
        <v>4131000</v>
      </c>
      <c r="AU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2" t="inlineStr">
        <is>
          <t>Revenue</t>
        </is>
      </c>
      <c r="B2" s="3" t="n">
        <v>4475446000</v>
      </c>
      <c r="C2" s="3" t="n">
        <v>2865507000</v>
      </c>
      <c r="D2" s="3" t="n">
        <v>2225012000</v>
      </c>
      <c r="E2" s="3" t="n">
        <v>1905871000</v>
      </c>
      <c r="F2" s="3" t="n">
        <v>1541889000</v>
      </c>
    </row>
    <row r="3">
      <c r="A3" s="2" t="inlineStr">
        <is>
          <t>COGS</t>
        </is>
      </c>
      <c r="B3" s="3" t="n">
        <v>789177000</v>
      </c>
      <c r="C3" s="3" t="n">
        <v>565990000</v>
      </c>
      <c r="D3" s="3" t="n">
        <v>431105000</v>
      </c>
      <c r="E3" s="3" t="n">
        <v>408549000</v>
      </c>
      <c r="F3" s="3" t="n">
        <v>339404000</v>
      </c>
    </row>
    <row r="4">
      <c r="A4" s="2" t="inlineStr">
        <is>
          <t>Reported Gross Profit</t>
        </is>
      </c>
      <c r="B4" s="3" t="n">
        <v>3686269000</v>
      </c>
      <c r="C4" s="3" t="n">
        <v>2299517000</v>
      </c>
      <c r="D4" s="3" t="n">
        <v>1793907000</v>
      </c>
      <c r="E4" s="3" t="n">
        <v>1497322000</v>
      </c>
      <c r="F4" s="3" t="n">
        <v>1202485000</v>
      </c>
    </row>
    <row r="5">
      <c r="A5" s="2" t="inlineStr">
        <is>
          <t>R&amp;D</t>
        </is>
      </c>
      <c r="B5" s="3" t="n">
        <v>557677000</v>
      </c>
      <c r="C5" s="3" t="n">
        <v>507878000</v>
      </c>
      <c r="D5" s="3" t="n">
        <v>404624000</v>
      </c>
      <c r="E5" s="3" t="n">
        <v>359679000</v>
      </c>
      <c r="F5" s="3" t="n">
        <v>387487000</v>
      </c>
    </row>
    <row r="6">
      <c r="A6" s="2" t="inlineStr">
        <is>
          <t>SG&amp;A</t>
        </is>
      </c>
      <c r="B6" s="3" t="n">
        <v>1714577000</v>
      </c>
      <c r="C6" s="3" t="n">
        <v>1481236000</v>
      </c>
      <c r="D6" s="3" t="n">
        <v>1269317000</v>
      </c>
      <c r="E6" s="3" t="n">
        <v>1298844000</v>
      </c>
      <c r="F6" s="3" t="n">
        <v>1226044000</v>
      </c>
    </row>
    <row r="7">
      <c r="A7" s="2" t="inlineStr">
        <is>
          <t>Reported Operating Expenses</t>
        </is>
      </c>
      <c r="B7" s="3" t="n">
        <v>2272254000</v>
      </c>
      <c r="C7" s="3" t="n">
        <v>1989114000</v>
      </c>
      <c r="D7" s="3" t="n">
        <v>1673941000</v>
      </c>
      <c r="E7" s="3" t="n">
        <v>1658523000</v>
      </c>
      <c r="F7" s="3" t="n">
        <v>1613531000</v>
      </c>
    </row>
    <row r="8">
      <c r="A8" s="2" t="inlineStr">
        <is>
          <t>Reported Operating Income</t>
        </is>
      </c>
      <c r="B8" s="3" t="n">
        <v>1414015000</v>
      </c>
      <c r="C8" s="3" t="n">
        <v>310403000</v>
      </c>
      <c r="D8" s="3" t="n">
        <v>119966000</v>
      </c>
      <c r="E8" s="3" t="n">
        <v>-161201000</v>
      </c>
      <c r="F8" s="3" t="n">
        <v>-411046000</v>
      </c>
    </row>
    <row r="9">
      <c r="A9" s="2" t="inlineStr">
        <is>
          <t>Interest Expense</t>
        </is>
      </c>
      <c r="B9" s="3" t="n">
        <v>0</v>
      </c>
      <c r="C9" s="3" t="n">
        <v>0</v>
      </c>
      <c r="D9" s="3" t="n">
        <v>3470000</v>
      </c>
      <c r="E9" s="3" t="n">
        <v>4058000</v>
      </c>
      <c r="F9" s="3" t="n">
        <v>3640000</v>
      </c>
    </row>
    <row r="10">
      <c r="A10" s="2" t="inlineStr">
        <is>
          <t>Pre-Tax Income</t>
        </is>
      </c>
      <c r="B10" s="3" t="n">
        <v>1657368000</v>
      </c>
      <c r="C10" s="3" t="n">
        <v>489173000</v>
      </c>
      <c r="D10" s="3" t="n">
        <v>237091000</v>
      </c>
      <c r="E10" s="3" t="n">
        <v>-361027000</v>
      </c>
      <c r="F10" s="3" t="n">
        <v>-488494000</v>
      </c>
    </row>
    <row r="11">
      <c r="A11" s="2" t="inlineStr">
        <is>
          <t>Taxes</t>
        </is>
      </c>
      <c r="B11" s="3" t="n">
        <v>22724000</v>
      </c>
      <c r="C11" s="3" t="n">
        <v>21255000</v>
      </c>
      <c r="D11" s="3" t="n">
        <v>19716000</v>
      </c>
      <c r="E11" s="3" t="n">
        <v>10067000</v>
      </c>
      <c r="F11" s="3" t="n">
        <v>31885000</v>
      </c>
    </row>
    <row r="12">
      <c r="A12" s="2" t="inlineStr">
        <is>
          <t>Reported Net Income</t>
        </is>
      </c>
      <c r="B12" s="3" t="n">
        <v>1625033000</v>
      </c>
      <c r="C12" s="3" t="n">
        <v>462190000</v>
      </c>
      <c r="D12" s="3" t="n">
        <v>209825000</v>
      </c>
      <c r="E12" s="3" t="n">
        <v>-373705000</v>
      </c>
      <c r="F12" s="3" t="n">
        <v>-520379000</v>
      </c>
    </row>
    <row r="13">
      <c r="A13" s="2" t="inlineStr">
        <is>
          <t>Shares Outstanding</t>
        </is>
      </c>
      <c r="B13" s="3" t="n">
        <v>2369612000</v>
      </c>
      <c r="C13" s="3" t="n">
        <v>2250163000</v>
      </c>
      <c r="D13" s="3" t="n">
        <v>2147446000</v>
      </c>
      <c r="E13" s="3" t="n">
        <v>2063793000</v>
      </c>
      <c r="F13" s="3" t="n">
        <v>1923617000</v>
      </c>
    </row>
    <row r="14">
      <c r="A14" s="2" t="inlineStr">
        <is>
          <t>Reported EPS</t>
        </is>
      </c>
      <c r="B14" s="3" t="n">
        <v>0.6899999999999999</v>
      </c>
      <c r="C14" s="3" t="n">
        <v>0.21</v>
      </c>
      <c r="D14" s="3" t="n">
        <v>0.0977</v>
      </c>
      <c r="E14" s="3" t="n">
        <v>-0.18</v>
      </c>
      <c r="F14" s="3" t="n">
        <v>-0.27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2" t="inlineStr">
        <is>
          <t>Cash &amp; Equivalents</t>
        </is>
      </c>
      <c r="B2" s="3" t="n">
        <v>1423796000</v>
      </c>
      <c r="C2" s="3" t="n">
        <v>2098524000</v>
      </c>
      <c r="D2" s="3" t="n">
        <v>831047000</v>
      </c>
      <c r="E2" s="3" t="n">
        <v>2598540000</v>
      </c>
      <c r="F2" s="3" t="n">
        <v>2290674000</v>
      </c>
    </row>
    <row r="3">
      <c r="A3" s="2" t="inlineStr">
        <is>
          <t>Short-Term Investments</t>
        </is>
      </c>
      <c r="B3" s="3" t="n">
        <v>5753247000</v>
      </c>
      <c r="C3" s="3" t="n">
        <v>3131463000</v>
      </c>
      <c r="D3" s="3" t="n">
        <v>2843132000</v>
      </c>
      <c r="E3" s="3" t="n">
        <v>35135000</v>
      </c>
      <c r="F3" s="3" t="n">
        <v>234153000</v>
      </c>
    </row>
    <row r="4">
      <c r="A4" s="2" t="inlineStr">
        <is>
          <t>Receivables</t>
        </is>
      </c>
      <c r="B4" s="3" t="n">
        <v>1042065000</v>
      </c>
      <c r="C4" s="3" t="n">
        <v>575048000</v>
      </c>
      <c r="D4" s="3" t="n">
        <v>364784000</v>
      </c>
      <c r="E4" s="3" t="n">
        <v>258346000</v>
      </c>
      <c r="F4" s="3" t="n">
        <v>190923000</v>
      </c>
    </row>
    <row r="5">
      <c r="A5" s="2" t="inlineStr">
        <is>
          <t>Inventory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2" t="inlineStr">
        <is>
          <t>Other Current Assets</t>
        </is>
      </c>
      <c r="B6" s="3" t="n">
        <v>139066000</v>
      </c>
      <c r="C6" s="3" t="n">
        <v>129254000</v>
      </c>
      <c r="D6" s="3" t="n">
        <v>99655000</v>
      </c>
      <c r="E6" s="3" t="n">
        <v>149556000</v>
      </c>
      <c r="F6" s="3" t="n">
        <v>36628000</v>
      </c>
    </row>
    <row r="7">
      <c r="A7" s="2" t="inlineStr">
        <is>
          <t>Reported Total Current Assets</t>
        </is>
      </c>
      <c r="B7" s="3" t="n">
        <v>8358174000</v>
      </c>
      <c r="C7" s="3" t="n">
        <v>5934289000</v>
      </c>
      <c r="D7" s="3" t="n">
        <v>4138618000</v>
      </c>
      <c r="E7" s="3" t="n">
        <v>3041577000</v>
      </c>
      <c r="F7" s="3" t="n">
        <v>2863250000</v>
      </c>
    </row>
    <row r="8">
      <c r="A8" s="2" t="inlineStr">
        <is>
          <t>PP&amp;E, Net</t>
        </is>
      </c>
      <c r="B8" s="3" t="n">
        <v>252065000</v>
      </c>
      <c r="C8" s="3" t="n">
        <v>240378000</v>
      </c>
      <c r="D8" s="3" t="n">
        <v>230621000</v>
      </c>
      <c r="E8" s="3" t="n">
        <v>269410000</v>
      </c>
      <c r="F8" s="3" t="n">
        <v>248202000</v>
      </c>
    </row>
    <row r="9">
      <c r="A9" s="2" t="inlineStr">
        <is>
          <t>Goodwill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Intangibles</t>
        </is>
      </c>
      <c r="B10" s="3" t="n">
        <v>0</v>
      </c>
      <c r="C10" s="3" t="n">
        <v>18058000</v>
      </c>
      <c r="D10" s="3" t="n">
        <v>25902000</v>
      </c>
      <c r="E10" s="3" t="n">
        <v>0</v>
      </c>
      <c r="F10" s="3" t="n">
        <v>0</v>
      </c>
    </row>
    <row r="11">
      <c r="A11" s="2" t="inlineStr">
        <is>
          <t>Other Non-Current Assets</t>
        </is>
      </c>
      <c r="B11" s="3" t="n">
        <v>290153000</v>
      </c>
      <c r="C11" s="3" t="n">
        <v>148159000</v>
      </c>
      <c r="D11" s="3" t="n">
        <v>127284000</v>
      </c>
      <c r="E11" s="3" t="n">
        <v>150252000</v>
      </c>
      <c r="F11" s="3" t="n">
        <v>135998000</v>
      </c>
    </row>
    <row r="12">
      <c r="A12" s="2" t="inlineStr">
        <is>
          <t>Reported Total Assets</t>
        </is>
      </c>
      <c r="B12" s="3" t="n">
        <v>8900392000</v>
      </c>
      <c r="C12" s="3" t="n">
        <v>6340884000</v>
      </c>
      <c r="D12" s="3" t="n">
        <v>4522425000</v>
      </c>
      <c r="E12" s="3" t="n">
        <v>3461239000</v>
      </c>
      <c r="F12" s="3" t="n">
        <v>3247450000</v>
      </c>
    </row>
    <row r="13">
      <c r="A13" s="2" t="inlineStr">
        <is>
          <t>Accounts Payable</t>
        </is>
      </c>
      <c r="B13" s="3" t="n">
        <v>8064000</v>
      </c>
      <c r="C13" s="3" t="n">
        <v>103000</v>
      </c>
      <c r="D13" s="3" t="n">
        <v>12122000</v>
      </c>
      <c r="E13" s="3" t="n">
        <v>44788000</v>
      </c>
      <c r="F13" s="3" t="n">
        <v>74907000</v>
      </c>
    </row>
    <row r="14">
      <c r="A14" s="2" t="inlineStr">
        <is>
          <t>Short-Term Debt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2" t="inlineStr">
        <is>
          <t>Other Current Liabilities</t>
        </is>
      </c>
      <c r="B15" s="3" t="n">
        <v>712690000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Reported Total Current Liabilities</t>
        </is>
      </c>
      <c r="B16" s="3" t="n">
        <v>1175581000</v>
      </c>
      <c r="C16" s="3" t="n">
        <v>996018000</v>
      </c>
      <c r="D16" s="3" t="n">
        <v>746018000</v>
      </c>
      <c r="E16" s="3" t="n">
        <v>587941000</v>
      </c>
      <c r="F16" s="3" t="n">
        <v>660061000</v>
      </c>
    </row>
    <row r="17">
      <c r="A17" s="2" t="inlineStr">
        <is>
          <t>Long-Term Debt</t>
        </is>
      </c>
      <c r="B17" s="3" t="n">
        <v>183474000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Other Non-Current Liabilities</t>
        </is>
      </c>
      <c r="B18" s="3" t="n">
        <v>-176364000</v>
      </c>
      <c r="C18" s="3" t="n">
        <v>13685000</v>
      </c>
      <c r="D18" s="3" t="n">
        <v>10702000</v>
      </c>
      <c r="E18" s="3" t="n">
        <v>12655000</v>
      </c>
      <c r="F18" s="3" t="n">
        <v>2297000</v>
      </c>
    </row>
    <row r="19">
      <c r="A19" s="2" t="inlineStr">
        <is>
          <t>Reported Total Liabilities</t>
        </is>
      </c>
      <c r="B19" s="3" t="n">
        <v>1412381000</v>
      </c>
      <c r="C19" s="3" t="n">
        <v>1246477000</v>
      </c>
      <c r="D19" s="3" t="n">
        <v>961460000</v>
      </c>
      <c r="E19" s="3" t="n">
        <v>818802000</v>
      </c>
      <c r="F19" s="3" t="n">
        <v>956420000</v>
      </c>
    </row>
    <row r="20">
      <c r="A20" s="2" t="inlineStr">
        <is>
          <t>Common Stock</t>
        </is>
      </c>
      <c r="B20" s="3" t="n">
        <v>2391000</v>
      </c>
      <c r="C20" s="3" t="n">
        <v>2339000</v>
      </c>
      <c r="D20" s="3" t="n">
        <v>2200000</v>
      </c>
      <c r="E20" s="3" t="n">
        <v>2099000</v>
      </c>
      <c r="F20" s="3" t="n">
        <v>2027000</v>
      </c>
    </row>
    <row r="21">
      <c r="A21" s="2" t="inlineStr">
        <is>
          <t>Retained Earnings</t>
        </is>
      </c>
      <c r="B21" s="3" t="n">
        <v>-3562390000</v>
      </c>
      <c r="C21" s="3" t="n">
        <v>-5187423000</v>
      </c>
      <c r="D21" s="3" t="n">
        <v>-5649613000</v>
      </c>
      <c r="E21" s="3" t="n">
        <v>-5859438000</v>
      </c>
      <c r="F21" s="3" t="n">
        <v>-5485733000</v>
      </c>
    </row>
    <row r="22">
      <c r="A22" s="2" t="inlineStr">
        <is>
          <t>Reported Total Equity</t>
        </is>
      </c>
      <c r="B22" s="3" t="n">
        <v>7387268000</v>
      </c>
      <c r="C22" s="3" t="n">
        <v>5003275000</v>
      </c>
      <c r="D22" s="3" t="n">
        <v>3475561000</v>
      </c>
      <c r="E22" s="3" t="n">
        <v>2565326000</v>
      </c>
      <c r="F22" s="3" t="n">
        <v>2291030000</v>
      </c>
    </row>
    <row r="23">
      <c r="A23" s="2" t="inlineStr">
        <is>
          <t>Reported Total Debt</t>
        </is>
      </c>
      <c r="B23" s="3" t="n">
        <v>412812000</v>
      </c>
      <c r="C23" s="3" t="n">
        <v>239219000</v>
      </c>
      <c r="D23" s="3" t="n">
        <v>229392000</v>
      </c>
      <c r="E23" s="3" t="n">
        <v>249404000</v>
      </c>
      <c r="F23" s="3" t="n">
        <v>260073000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2" t="inlineStr">
        <is>
          <t>Reported Net Income</t>
        </is>
      </c>
      <c r="B2" s="3" t="n">
        <v>1634644000</v>
      </c>
      <c r="C2" s="3" t="n">
        <v>467918000</v>
      </c>
      <c r="D2" s="3" t="n">
        <v>217375000</v>
      </c>
      <c r="E2" s="3" t="n">
        <v>-371094000</v>
      </c>
      <c r="F2" s="3" t="n">
        <v>-520379000</v>
      </c>
    </row>
    <row r="3">
      <c r="A3" s="2" t="inlineStr">
        <is>
          <t>D&amp;A</t>
        </is>
      </c>
      <c r="B3" s="3" t="n">
        <v>26145000</v>
      </c>
      <c r="C3" s="3" t="n">
        <v>31587000</v>
      </c>
      <c r="D3" s="3" t="n">
        <v>33354000</v>
      </c>
      <c r="E3" s="3" t="n">
        <v>22522000</v>
      </c>
      <c r="F3" s="3" t="n">
        <v>14897000</v>
      </c>
    </row>
    <row r="4">
      <c r="A4" s="2" t="inlineStr">
        <is>
          <t>Stock-Based Compensation</t>
        </is>
      </c>
      <c r="B4" s="3" t="n">
        <v>684033000</v>
      </c>
      <c r="C4" s="3" t="n">
        <v>691638000</v>
      </c>
      <c r="D4" s="3" t="n">
        <v>475903000</v>
      </c>
      <c r="E4" s="3" t="n">
        <v>564798000</v>
      </c>
      <c r="F4" s="3" t="n">
        <v>778215000</v>
      </c>
    </row>
    <row r="5">
      <c r="A5" s="2" t="inlineStr">
        <is>
          <t>Change in Working Capital</t>
        </is>
      </c>
      <c r="B5" s="3" t="n">
        <v>-209963000</v>
      </c>
      <c r="C5" s="3" t="n">
        <v>-70097000</v>
      </c>
      <c r="D5" s="3" t="n">
        <v>6236000</v>
      </c>
      <c r="E5" s="3" t="n">
        <v>-261217000</v>
      </c>
      <c r="F5" s="3" t="n">
        <v>-92097000</v>
      </c>
    </row>
    <row r="6">
      <c r="A6" s="2" t="inlineStr">
        <is>
          <t>Reported CFO</t>
        </is>
      </c>
      <c r="B6" s="3" t="n">
        <v>2134473000</v>
      </c>
      <c r="C6" s="3" t="n">
        <v>1153865000</v>
      </c>
      <c r="D6" s="3" t="n">
        <v>712183000</v>
      </c>
      <c r="E6" s="3" t="n">
        <v>223737000</v>
      </c>
      <c r="F6" s="3" t="n">
        <v>333851000</v>
      </c>
    </row>
    <row r="7">
      <c r="A7" s="2" t="inlineStr">
        <is>
          <t>Capex</t>
        </is>
      </c>
      <c r="B7" s="3" t="n">
        <v>-33882000</v>
      </c>
      <c r="C7" s="3" t="n">
        <v>-12634000</v>
      </c>
      <c r="D7" s="3" t="n">
        <v>-15114000</v>
      </c>
      <c r="E7" s="3" t="n">
        <v>-40027000</v>
      </c>
      <c r="F7" s="3" t="n">
        <v>-12627000</v>
      </c>
    </row>
    <row r="8">
      <c r="A8" s="2" t="inlineStr">
        <is>
          <t>Acquisitions</t>
        </is>
      </c>
      <c r="B8" s="3" t="n">
        <v>0</v>
      </c>
      <c r="C8" s="3" t="n">
        <v>0</v>
      </c>
      <c r="D8" s="3" t="n">
        <v>0</v>
      </c>
      <c r="E8" s="3" t="n">
        <v>66708000</v>
      </c>
      <c r="F8" s="3" t="n">
        <v>0</v>
      </c>
    </row>
    <row r="9">
      <c r="A9" s="2" t="inlineStr">
        <is>
          <t>Reported CFI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Debt Repayment</t>
        </is>
      </c>
      <c r="B10" s="3" t="inlineStr"/>
      <c r="C10" s="3" t="inlineStr"/>
      <c r="D10" s="3" t="inlineStr"/>
      <c r="E10" s="3" t="inlineStr"/>
      <c r="F10" s="3" t="inlineStr"/>
    </row>
    <row r="11">
      <c r="A11" s="2" t="inlineStr">
        <is>
          <t>Stock Issued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Stock Repurchased</t>
        </is>
      </c>
      <c r="B12" s="3" t="n">
        <v>-74985000</v>
      </c>
      <c r="C12" s="3" t="n">
        <v>-64196000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Dividends Paid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Reported CFF</t>
        </is>
      </c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Reported Free Cash Flow</t>
        </is>
      </c>
      <c r="B15" s="3" t="n">
        <v>2100591000</v>
      </c>
      <c r="C15" s="3" t="n">
        <v>1141231000</v>
      </c>
      <c r="D15" s="3" t="n">
        <v>697069000</v>
      </c>
      <c r="E15" s="3" t="n">
        <v>183710000</v>
      </c>
      <c r="F15" s="3" t="n">
        <v>321224000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9" customWidth="1" min="4" max="4"/>
  </cols>
  <sheetData>
    <row r="1">
      <c r="A1" s="1" t="inlineStr">
        <is>
          <t>statement</t>
        </is>
      </c>
      <c r="B1" s="1" t="inlineStr">
        <is>
          <t>canonical_line</t>
        </is>
      </c>
      <c r="C1" s="1" t="inlineStr">
        <is>
          <t>source_field_used</t>
        </is>
      </c>
      <c r="D1" s="1" t="inlineStr">
        <is>
          <t>status</t>
        </is>
      </c>
    </row>
    <row r="2">
      <c r="A2" s="2" t="inlineStr">
        <is>
          <t>IS</t>
        </is>
      </c>
      <c r="B2" s="2" t="inlineStr">
        <is>
          <t>Revenue</t>
        </is>
      </c>
      <c r="C2" s="2" t="inlineStr">
        <is>
          <t>revenue</t>
        </is>
      </c>
      <c r="D2" s="2" t="inlineStr">
        <is>
          <t>mapped</t>
        </is>
      </c>
    </row>
    <row r="3">
      <c r="A3" s="2" t="inlineStr">
        <is>
          <t>IS</t>
        </is>
      </c>
      <c r="B3" s="2" t="inlineStr">
        <is>
          <t>COGS</t>
        </is>
      </c>
      <c r="C3" s="2" t="inlineStr">
        <is>
          <t>costOfRevenue</t>
        </is>
      </c>
      <c r="D3" s="2" t="inlineStr">
        <is>
          <t>mapped</t>
        </is>
      </c>
    </row>
    <row r="4">
      <c r="A4" s="2" t="inlineStr">
        <is>
          <t>IS</t>
        </is>
      </c>
      <c r="B4" s="2" t="inlineStr">
        <is>
          <t>Reported Gross Profit</t>
        </is>
      </c>
      <c r="C4" s="2" t="inlineStr">
        <is>
          <t>grossProfit</t>
        </is>
      </c>
      <c r="D4" s="2" t="inlineStr">
        <is>
          <t>mapped</t>
        </is>
      </c>
    </row>
    <row r="5">
      <c r="A5" s="2" t="inlineStr">
        <is>
          <t>IS</t>
        </is>
      </c>
      <c r="B5" s="2" t="inlineStr">
        <is>
          <t>R&amp;D</t>
        </is>
      </c>
      <c r="C5" s="2" t="inlineStr">
        <is>
          <t>researchAndDevelopmentExpenses</t>
        </is>
      </c>
      <c r="D5" s="2" t="inlineStr">
        <is>
          <t>mapped</t>
        </is>
      </c>
    </row>
    <row r="6">
      <c r="A6" s="2" t="inlineStr">
        <is>
          <t>IS</t>
        </is>
      </c>
      <c r="B6" s="2" t="inlineStr">
        <is>
          <t>SG&amp;A</t>
        </is>
      </c>
      <c r="C6" s="2" t="inlineStr">
        <is>
          <t>sellingGeneralAndAdministrativeExpenses</t>
        </is>
      </c>
      <c r="D6" s="2" t="inlineStr">
        <is>
          <t>mapped</t>
        </is>
      </c>
    </row>
    <row r="7">
      <c r="A7" s="2" t="inlineStr">
        <is>
          <t>IS</t>
        </is>
      </c>
      <c r="B7" s="2" t="inlineStr">
        <is>
          <t>Reported Operating Expenses</t>
        </is>
      </c>
      <c r="C7" s="2" t="inlineStr">
        <is>
          <t>operatingExpenses</t>
        </is>
      </c>
      <c r="D7" s="2" t="inlineStr">
        <is>
          <t>mapped</t>
        </is>
      </c>
    </row>
    <row r="8">
      <c r="A8" s="2" t="inlineStr">
        <is>
          <t>IS</t>
        </is>
      </c>
      <c r="B8" s="2" t="inlineStr">
        <is>
          <t>Reported Operating Income</t>
        </is>
      </c>
      <c r="C8" s="2" t="inlineStr">
        <is>
          <t>operatingIncome</t>
        </is>
      </c>
      <c r="D8" s="2" t="inlineStr">
        <is>
          <t>mapped</t>
        </is>
      </c>
    </row>
    <row r="9">
      <c r="A9" s="2" t="inlineStr">
        <is>
          <t>IS</t>
        </is>
      </c>
      <c r="B9" s="2" t="inlineStr">
        <is>
          <t>Interest Expense</t>
        </is>
      </c>
      <c r="C9" s="2" t="inlineStr">
        <is>
          <t>interestExpense</t>
        </is>
      </c>
      <c r="D9" s="2" t="inlineStr">
        <is>
          <t>mapped</t>
        </is>
      </c>
    </row>
    <row r="10">
      <c r="A10" s="2" t="inlineStr">
        <is>
          <t>IS</t>
        </is>
      </c>
      <c r="B10" s="2" t="inlineStr">
        <is>
          <t>Pre-Tax Income</t>
        </is>
      </c>
      <c r="C10" s="2" t="inlineStr">
        <is>
          <t>incomeBeforeTax</t>
        </is>
      </c>
      <c r="D10" s="2" t="inlineStr">
        <is>
          <t>mapped</t>
        </is>
      </c>
    </row>
    <row r="11">
      <c r="A11" s="2" t="inlineStr">
        <is>
          <t>IS</t>
        </is>
      </c>
      <c r="B11" s="2" t="inlineStr">
        <is>
          <t>Taxes</t>
        </is>
      </c>
      <c r="C11" s="2" t="inlineStr">
        <is>
          <t>incomeTaxExpense</t>
        </is>
      </c>
      <c r="D11" s="2" t="inlineStr">
        <is>
          <t>mapped</t>
        </is>
      </c>
    </row>
    <row r="12">
      <c r="A12" s="2" t="inlineStr">
        <is>
          <t>IS</t>
        </is>
      </c>
      <c r="B12" s="2" t="inlineStr">
        <is>
          <t>Reported Net Income</t>
        </is>
      </c>
      <c r="C12" s="2" t="inlineStr">
        <is>
          <t>netIncome</t>
        </is>
      </c>
      <c r="D12" s="2" t="inlineStr">
        <is>
          <t>mapped</t>
        </is>
      </c>
    </row>
    <row r="13">
      <c r="A13" s="2" t="inlineStr">
        <is>
          <t>IS</t>
        </is>
      </c>
      <c r="B13" s="2" t="inlineStr">
        <is>
          <t>Shares Outstanding</t>
        </is>
      </c>
      <c r="C13" s="2" t="inlineStr">
        <is>
          <t>weightedAverageShsOut</t>
        </is>
      </c>
      <c r="D13" s="2" t="inlineStr">
        <is>
          <t>mapped</t>
        </is>
      </c>
    </row>
    <row r="14">
      <c r="A14" s="2" t="inlineStr">
        <is>
          <t>IS</t>
        </is>
      </c>
      <c r="B14" s="2" t="inlineStr">
        <is>
          <t>Reported EPS</t>
        </is>
      </c>
      <c r="C14" s="2" t="inlineStr">
        <is>
          <t>eps</t>
        </is>
      </c>
      <c r="D14" s="2" t="inlineStr">
        <is>
          <t>mapped</t>
        </is>
      </c>
    </row>
    <row r="15">
      <c r="A15" s="2" t="inlineStr">
        <is>
          <t>BS</t>
        </is>
      </c>
      <c r="B15" s="2" t="inlineStr">
        <is>
          <t>Cash &amp; Equivalents</t>
        </is>
      </c>
      <c r="C15" s="2" t="inlineStr">
        <is>
          <t>cashAndCashEquivalents</t>
        </is>
      </c>
      <c r="D15" s="2" t="inlineStr">
        <is>
          <t>mapped</t>
        </is>
      </c>
    </row>
    <row r="16">
      <c r="A16" s="2" t="inlineStr">
        <is>
          <t>BS</t>
        </is>
      </c>
      <c r="B16" s="2" t="inlineStr">
        <is>
          <t>Short-Term Investments</t>
        </is>
      </c>
      <c r="C16" s="2" t="inlineStr">
        <is>
          <t>shortTermInvestments</t>
        </is>
      </c>
      <c r="D16" s="2" t="inlineStr">
        <is>
          <t>mapped</t>
        </is>
      </c>
    </row>
    <row r="17">
      <c r="A17" s="2" t="inlineStr">
        <is>
          <t>BS</t>
        </is>
      </c>
      <c r="B17" s="2" t="inlineStr">
        <is>
          <t>Receivables</t>
        </is>
      </c>
      <c r="C17" s="2" t="inlineStr">
        <is>
          <t>netReceivables</t>
        </is>
      </c>
      <c r="D17" s="2" t="inlineStr">
        <is>
          <t>mapped</t>
        </is>
      </c>
    </row>
    <row r="18">
      <c r="A18" s="2" t="inlineStr">
        <is>
          <t>BS</t>
        </is>
      </c>
      <c r="B18" s="2" t="inlineStr">
        <is>
          <t>Inventory</t>
        </is>
      </c>
      <c r="C18" s="2" t="inlineStr">
        <is>
          <t>inventory</t>
        </is>
      </c>
      <c r="D18" s="2" t="inlineStr">
        <is>
          <t>mapped</t>
        </is>
      </c>
    </row>
    <row r="19">
      <c r="A19" s="2" t="inlineStr">
        <is>
          <t>BS</t>
        </is>
      </c>
      <c r="B19" s="2" t="inlineStr">
        <is>
          <t>Other Current Assets</t>
        </is>
      </c>
      <c r="C19" s="2" t="inlineStr">
        <is>
          <t>otherCurrentAssets</t>
        </is>
      </c>
      <c r="D19" s="2" t="inlineStr">
        <is>
          <t>mapped</t>
        </is>
      </c>
    </row>
    <row r="20">
      <c r="A20" s="2" t="inlineStr">
        <is>
          <t>BS</t>
        </is>
      </c>
      <c r="B20" s="2" t="inlineStr">
        <is>
          <t>Reported Total Current Assets</t>
        </is>
      </c>
      <c r="C20" s="2" t="inlineStr">
        <is>
          <t>totalCurrentAssets</t>
        </is>
      </c>
      <c r="D20" s="2" t="inlineStr">
        <is>
          <t>mapped</t>
        </is>
      </c>
    </row>
    <row r="21">
      <c r="A21" s="2" t="inlineStr">
        <is>
          <t>BS</t>
        </is>
      </c>
      <c r="B21" s="2" t="inlineStr">
        <is>
          <t>PP&amp;E, Net</t>
        </is>
      </c>
      <c r="C21" s="2" t="inlineStr">
        <is>
          <t>propertyPlantEquipmentNet</t>
        </is>
      </c>
      <c r="D21" s="2" t="inlineStr">
        <is>
          <t>mapped</t>
        </is>
      </c>
    </row>
    <row r="22">
      <c r="A22" s="2" t="inlineStr">
        <is>
          <t>BS</t>
        </is>
      </c>
      <c r="B22" s="2" t="inlineStr">
        <is>
          <t>Goodwill</t>
        </is>
      </c>
      <c r="C22" s="2" t="inlineStr">
        <is>
          <t>goodwill</t>
        </is>
      </c>
      <c r="D22" s="2" t="inlineStr">
        <is>
          <t>mapped</t>
        </is>
      </c>
    </row>
    <row r="23">
      <c r="A23" s="2" t="inlineStr">
        <is>
          <t>BS</t>
        </is>
      </c>
      <c r="B23" s="2" t="inlineStr">
        <is>
          <t>Intangibles</t>
        </is>
      </c>
      <c r="C23" s="2" t="inlineStr">
        <is>
          <t>intangibleAssets</t>
        </is>
      </c>
      <c r="D23" s="2" t="inlineStr">
        <is>
          <t>mapped</t>
        </is>
      </c>
    </row>
    <row r="24">
      <c r="A24" s="2" t="inlineStr">
        <is>
          <t>BS</t>
        </is>
      </c>
      <c r="B24" s="2" t="inlineStr">
        <is>
          <t>Other Non-Current Assets</t>
        </is>
      </c>
      <c r="C24" s="2" t="inlineStr">
        <is>
          <t>otherNonCurrentAssets</t>
        </is>
      </c>
      <c r="D24" s="2" t="inlineStr">
        <is>
          <t>mapped</t>
        </is>
      </c>
    </row>
    <row r="25">
      <c r="A25" s="2" t="inlineStr">
        <is>
          <t>BS</t>
        </is>
      </c>
      <c r="B25" s="2" t="inlineStr">
        <is>
          <t>Reported Total Assets</t>
        </is>
      </c>
      <c r="C25" s="2" t="inlineStr">
        <is>
          <t>totalAssets</t>
        </is>
      </c>
      <c r="D25" s="2" t="inlineStr">
        <is>
          <t>mapped</t>
        </is>
      </c>
    </row>
    <row r="26">
      <c r="A26" s="2" t="inlineStr">
        <is>
          <t>BS</t>
        </is>
      </c>
      <c r="B26" s="2" t="inlineStr">
        <is>
          <t>Accounts Payable</t>
        </is>
      </c>
      <c r="C26" s="2" t="inlineStr">
        <is>
          <t>accountPayables</t>
        </is>
      </c>
      <c r="D26" s="2" t="inlineStr">
        <is>
          <t>mapped</t>
        </is>
      </c>
    </row>
    <row r="27">
      <c r="A27" s="2" t="inlineStr">
        <is>
          <t>BS</t>
        </is>
      </c>
      <c r="B27" s="2" t="inlineStr">
        <is>
          <t>Short-Term Debt</t>
        </is>
      </c>
      <c r="C27" s="2" t="inlineStr">
        <is>
          <t>shortTermDebt</t>
        </is>
      </c>
      <c r="D27" s="2" t="inlineStr">
        <is>
          <t>mapped</t>
        </is>
      </c>
    </row>
    <row r="28">
      <c r="A28" s="2" t="inlineStr">
        <is>
          <t>BS</t>
        </is>
      </c>
      <c r="B28" s="2" t="inlineStr">
        <is>
          <t>Other Current Liabilities</t>
        </is>
      </c>
      <c r="C28" s="2" t="inlineStr">
        <is>
          <t>otherCurrentLiabilities</t>
        </is>
      </c>
      <c r="D28" s="2" t="inlineStr">
        <is>
          <t>mapped</t>
        </is>
      </c>
    </row>
    <row r="29">
      <c r="A29" s="2" t="inlineStr">
        <is>
          <t>BS</t>
        </is>
      </c>
      <c r="B29" s="2" t="inlineStr">
        <is>
          <t>Reported Total Current Liabilities</t>
        </is>
      </c>
      <c r="C29" s="2" t="inlineStr">
        <is>
          <t>totalCurrentLiabilities</t>
        </is>
      </c>
      <c r="D29" s="2" t="inlineStr">
        <is>
          <t>mapped</t>
        </is>
      </c>
    </row>
    <row r="30">
      <c r="A30" s="2" t="inlineStr">
        <is>
          <t>BS</t>
        </is>
      </c>
      <c r="B30" s="2" t="inlineStr">
        <is>
          <t>Long-Term Debt</t>
        </is>
      </c>
      <c r="C30" s="2" t="inlineStr">
        <is>
          <t>longTermDebt</t>
        </is>
      </c>
      <c r="D30" s="2" t="inlineStr">
        <is>
          <t>mapped</t>
        </is>
      </c>
    </row>
    <row r="31">
      <c r="A31" s="2" t="inlineStr">
        <is>
          <t>BS</t>
        </is>
      </c>
      <c r="B31" s="2" t="inlineStr">
        <is>
          <t>Other Non-Current Liabilities</t>
        </is>
      </c>
      <c r="C31" s="2" t="inlineStr">
        <is>
          <t>otherNonCurrentLiabilities</t>
        </is>
      </c>
      <c r="D31" s="2" t="inlineStr">
        <is>
          <t>mapped</t>
        </is>
      </c>
    </row>
    <row r="32">
      <c r="A32" s="2" t="inlineStr">
        <is>
          <t>BS</t>
        </is>
      </c>
      <c r="B32" s="2" t="inlineStr">
        <is>
          <t>Reported Total Liabilities</t>
        </is>
      </c>
      <c r="C32" s="2" t="inlineStr">
        <is>
          <t>totalLiabilities</t>
        </is>
      </c>
      <c r="D32" s="2" t="inlineStr">
        <is>
          <t>mapped</t>
        </is>
      </c>
    </row>
    <row r="33">
      <c r="A33" s="2" t="inlineStr">
        <is>
          <t>BS</t>
        </is>
      </c>
      <c r="B33" s="2" t="inlineStr">
        <is>
          <t>Common Stock</t>
        </is>
      </c>
      <c r="C33" s="2" t="inlineStr">
        <is>
          <t>commonStock</t>
        </is>
      </c>
      <c r="D33" s="2" t="inlineStr">
        <is>
          <t>mapped</t>
        </is>
      </c>
    </row>
    <row r="34">
      <c r="A34" s="2" t="inlineStr">
        <is>
          <t>BS</t>
        </is>
      </c>
      <c r="B34" s="2" t="inlineStr">
        <is>
          <t>Retained Earnings</t>
        </is>
      </c>
      <c r="C34" s="2" t="inlineStr">
        <is>
          <t>retainedEarnings</t>
        </is>
      </c>
      <c r="D34" s="2" t="inlineStr">
        <is>
          <t>mapped</t>
        </is>
      </c>
    </row>
    <row r="35">
      <c r="A35" s="2" t="inlineStr">
        <is>
          <t>BS</t>
        </is>
      </c>
      <c r="B35" s="2" t="inlineStr">
        <is>
          <t>Reported Total Equity</t>
        </is>
      </c>
      <c r="C35" s="2" t="inlineStr">
        <is>
          <t>totalStockholdersEquity</t>
        </is>
      </c>
      <c r="D35" s="2" t="inlineStr">
        <is>
          <t>mapped</t>
        </is>
      </c>
    </row>
    <row r="36">
      <c r="A36" s="2" t="inlineStr">
        <is>
          <t>BS</t>
        </is>
      </c>
      <c r="B36" s="2" t="inlineStr">
        <is>
          <t>Reported Total Debt</t>
        </is>
      </c>
      <c r="C36" s="2" t="inlineStr">
        <is>
          <t>totalDebt</t>
        </is>
      </c>
      <c r="D36" s="2" t="inlineStr">
        <is>
          <t>mapped</t>
        </is>
      </c>
    </row>
    <row r="37">
      <c r="A37" s="2" t="inlineStr">
        <is>
          <t>CF</t>
        </is>
      </c>
      <c r="B37" s="2" t="inlineStr">
        <is>
          <t>Reported Net Income</t>
        </is>
      </c>
      <c r="C37" s="2" t="inlineStr">
        <is>
          <t>netIncome</t>
        </is>
      </c>
      <c r="D37" s="2" t="inlineStr">
        <is>
          <t>mapped</t>
        </is>
      </c>
    </row>
    <row r="38">
      <c r="A38" s="2" t="inlineStr">
        <is>
          <t>CF</t>
        </is>
      </c>
      <c r="B38" s="2" t="inlineStr">
        <is>
          <t>D&amp;A</t>
        </is>
      </c>
      <c r="C38" s="2" t="inlineStr">
        <is>
          <t>depreciationAndAmortization</t>
        </is>
      </c>
      <c r="D38" s="2" t="inlineStr">
        <is>
          <t>mapped</t>
        </is>
      </c>
    </row>
    <row r="39">
      <c r="A39" s="2" t="inlineStr">
        <is>
          <t>CF</t>
        </is>
      </c>
      <c r="B39" s="2" t="inlineStr">
        <is>
          <t>Stock-Based Compensation</t>
        </is>
      </c>
      <c r="C39" s="2" t="inlineStr">
        <is>
          <t>stockBasedCompensation</t>
        </is>
      </c>
      <c r="D39" s="2" t="inlineStr">
        <is>
          <t>mapped</t>
        </is>
      </c>
    </row>
    <row r="40">
      <c r="A40" s="2" t="inlineStr">
        <is>
          <t>CF</t>
        </is>
      </c>
      <c r="B40" s="2" t="inlineStr">
        <is>
          <t>Change in Working Capital</t>
        </is>
      </c>
      <c r="C40" s="2" t="inlineStr">
        <is>
          <t>changeInWorkingCapital</t>
        </is>
      </c>
      <c r="D40" s="2" t="inlineStr">
        <is>
          <t>mapped</t>
        </is>
      </c>
    </row>
    <row r="41">
      <c r="A41" s="2" t="inlineStr">
        <is>
          <t>CF</t>
        </is>
      </c>
      <c r="B41" s="2" t="inlineStr">
        <is>
          <t>Reported CFO</t>
        </is>
      </c>
      <c r="C41" s="2" t="inlineStr">
        <is>
          <t>netCashProvidedByOperatingActivities</t>
        </is>
      </c>
      <c r="D41" s="2" t="inlineStr">
        <is>
          <t>mapped</t>
        </is>
      </c>
    </row>
    <row r="42">
      <c r="A42" s="2" t="inlineStr">
        <is>
          <t>CF</t>
        </is>
      </c>
      <c r="B42" s="2" t="inlineStr">
        <is>
          <t>Capex</t>
        </is>
      </c>
      <c r="C42" s="2" t="inlineStr">
        <is>
          <t>capitalExpenditure</t>
        </is>
      </c>
      <c r="D42" s="2" t="inlineStr">
        <is>
          <t>mapped</t>
        </is>
      </c>
    </row>
    <row r="43">
      <c r="A43" s="2" t="inlineStr">
        <is>
          <t>CF</t>
        </is>
      </c>
      <c r="B43" s="2" t="inlineStr">
        <is>
          <t>Acquisitions</t>
        </is>
      </c>
      <c r="C43" s="2" t="inlineStr">
        <is>
          <t>acquisitionsNet</t>
        </is>
      </c>
      <c r="D43" s="2" t="inlineStr">
        <is>
          <t>mapped</t>
        </is>
      </c>
    </row>
    <row r="44">
      <c r="A44" s="2" t="inlineStr">
        <is>
          <t>CF</t>
        </is>
      </c>
      <c r="B44" s="2" t="inlineStr">
        <is>
          <t>Reported CFI</t>
        </is>
      </c>
      <c r="C44" s="2" t="inlineStr">
        <is>
          <t>MISSING</t>
        </is>
      </c>
      <c r="D44" s="2" t="inlineStr">
        <is>
          <t>missing</t>
        </is>
      </c>
    </row>
    <row r="45">
      <c r="A45" s="2" t="inlineStr">
        <is>
          <t>CF</t>
        </is>
      </c>
      <c r="B45" s="2" t="inlineStr">
        <is>
          <t>Debt Repayment</t>
        </is>
      </c>
      <c r="C45" s="2" t="inlineStr">
        <is>
          <t>MISSING</t>
        </is>
      </c>
      <c r="D45" s="2" t="inlineStr">
        <is>
          <t>missing</t>
        </is>
      </c>
    </row>
    <row r="46">
      <c r="A46" s="2" t="inlineStr">
        <is>
          <t>CF</t>
        </is>
      </c>
      <c r="B46" s="2" t="inlineStr">
        <is>
          <t>Stock Issued</t>
        </is>
      </c>
      <c r="C46" s="2" t="inlineStr">
        <is>
          <t>MISSING</t>
        </is>
      </c>
      <c r="D46" s="2" t="inlineStr">
        <is>
          <t>missing</t>
        </is>
      </c>
    </row>
    <row r="47">
      <c r="A47" s="2" t="inlineStr">
        <is>
          <t>CF</t>
        </is>
      </c>
      <c r="B47" s="2" t="inlineStr">
        <is>
          <t>Stock Repurchased</t>
        </is>
      </c>
      <c r="C47" s="2" t="inlineStr">
        <is>
          <t>commonStockRepurchased</t>
        </is>
      </c>
      <c r="D47" s="2" t="inlineStr">
        <is>
          <t>mapped</t>
        </is>
      </c>
    </row>
    <row r="48">
      <c r="A48" s="2" t="inlineStr">
        <is>
          <t>CF</t>
        </is>
      </c>
      <c r="B48" s="2" t="inlineStr">
        <is>
          <t>Dividends Paid</t>
        </is>
      </c>
      <c r="C48" s="2" t="inlineStr">
        <is>
          <t>MISSING</t>
        </is>
      </c>
      <c r="D48" s="2" t="inlineStr">
        <is>
          <t>missing</t>
        </is>
      </c>
    </row>
    <row r="49">
      <c r="A49" s="2" t="inlineStr">
        <is>
          <t>CF</t>
        </is>
      </c>
      <c r="B49" s="2" t="inlineStr">
        <is>
          <t>Reported CFF</t>
        </is>
      </c>
      <c r="C49" s="2" t="inlineStr">
        <is>
          <t>MISSING</t>
        </is>
      </c>
      <c r="D49" s="2" t="inlineStr">
        <is>
          <t>missing</t>
        </is>
      </c>
    </row>
    <row r="50">
      <c r="A50" s="2" t="inlineStr">
        <is>
          <t>CF</t>
        </is>
      </c>
      <c r="B50" s="2" t="inlineStr">
        <is>
          <t>Reported Free Cash Flow</t>
        </is>
      </c>
      <c r="C50" s="2" t="inlineStr">
        <is>
          <t>freeCashFlow</t>
        </is>
      </c>
      <c r="D50" s="2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2025-12-31</t>
        </is>
      </c>
      <c r="C2" s="5" t="inlineStr">
        <is>
          <t>2024-12-31</t>
        </is>
      </c>
      <c r="D2" s="5" t="inlineStr">
        <is>
          <t>2023-12-31</t>
        </is>
      </c>
      <c r="E2" s="5" t="inlineStr">
        <is>
          <t>2022-12-31</t>
        </is>
      </c>
      <c r="F2" s="5" t="inlineStr">
        <is>
          <t>2021-12-31</t>
        </is>
      </c>
    </row>
    <row r="3">
      <c r="A3" s="6" t="inlineStr">
        <is>
          <t>Revenue</t>
        </is>
      </c>
      <c r="B3" s="7" t="n">
        <v>4475446000</v>
      </c>
      <c r="C3" s="7" t="n">
        <v>2865507000</v>
      </c>
      <c r="D3" s="7" t="n">
        <v>2225012000</v>
      </c>
      <c r="E3" s="7" t="n">
        <v>1905871000</v>
      </c>
      <c r="F3" s="7" t="n">
        <v>1541889000</v>
      </c>
    </row>
    <row r="4">
      <c r="A4" t="inlineStr">
        <is>
          <t>COGS</t>
        </is>
      </c>
      <c r="B4" s="8">
        <f>B2-B3</f>
        <v/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</row>
    <row r="5">
      <c r="A5" s="6" t="inlineStr">
        <is>
          <t>Calculated Gross Profit</t>
        </is>
      </c>
      <c r="B5" s="7" t="n"/>
      <c r="C5" s="7" t="n"/>
      <c r="D5" s="7" t="n"/>
      <c r="E5" s="7" t="n"/>
      <c r="F5" s="7" t="n"/>
    </row>
    <row r="6">
      <c r="A6" s="6" t="inlineStr">
        <is>
          <t>Reported Gross Profit</t>
        </is>
      </c>
      <c r="B6" s="9">
        <f>IF(OR(B5="",B4=""),"",B5-B4)</f>
        <v/>
      </c>
      <c r="C6" s="9">
        <f>IF(OR(C5="",C4=""),"",C5-C4)</f>
        <v/>
      </c>
      <c r="D6" s="9">
        <f>IF(OR(D5="",D4=""),"",D5-D4)</f>
        <v/>
      </c>
      <c r="E6" s="9">
        <f>IF(OR(E5="",E4=""),"",E5-E4)</f>
        <v/>
      </c>
      <c r="F6" s="9">
        <f>IF(OR(F5="",F4=""),"",F5-F4)</f>
        <v/>
      </c>
    </row>
    <row r="7">
      <c r="A7" s="6" t="inlineStr">
        <is>
          <t>Gross Profit Check</t>
        </is>
      </c>
      <c r="B7" s="7" t="n"/>
      <c r="C7" s="7" t="n"/>
      <c r="D7" s="7" t="n"/>
      <c r="E7" s="7" t="n"/>
      <c r="F7" s="7" t="n"/>
    </row>
    <row r="8">
      <c r="A8" t="inlineStr">
        <is>
          <t>R&amp;D</t>
        </is>
      </c>
      <c r="B8" s="5" t="n">
        <v>557677000</v>
      </c>
      <c r="C8" s="5" t="n">
        <v>507878000</v>
      </c>
      <c r="D8" s="5" t="n">
        <v>404624000</v>
      </c>
      <c r="E8" s="5" t="n">
        <v>359679000</v>
      </c>
      <c r="F8" s="5" t="n">
        <v>387487000</v>
      </c>
    </row>
    <row r="9">
      <c r="A9" t="inlineStr">
        <is>
          <t>SG&amp;A</t>
        </is>
      </c>
      <c r="B9" s="8">
        <f>B7+B8</f>
        <v/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</row>
    <row r="10">
      <c r="A10" t="inlineStr">
        <is>
          <t>Calculated Total OpEx</t>
        </is>
      </c>
      <c r="B10" s="5" t="n"/>
      <c r="C10" s="5" t="n"/>
      <c r="D10" s="5" t="n"/>
      <c r="E10" s="5" t="n"/>
      <c r="F10" s="5" t="n"/>
    </row>
    <row r="11">
      <c r="A11" t="inlineStr">
        <is>
          <t>Reported Operating Expenses</t>
        </is>
      </c>
      <c r="B11" s="8">
        <f>B4-B9</f>
        <v/>
      </c>
      <c r="C11" s="8">
        <f>C4-C9</f>
        <v/>
      </c>
      <c r="D11" s="8">
        <f>D4-D9</f>
        <v/>
      </c>
      <c r="E11" s="8">
        <f>E4-E9</f>
        <v/>
      </c>
      <c r="F11" s="8">
        <f>F4-F9</f>
        <v/>
      </c>
    </row>
    <row r="12">
      <c r="A12" s="6" t="inlineStr">
        <is>
          <t>Calculated Operating Income</t>
        </is>
      </c>
      <c r="B12" s="7" t="n"/>
      <c r="C12" s="7" t="n"/>
      <c r="D12" s="7" t="n"/>
      <c r="E12" s="7" t="n"/>
      <c r="F12" s="7" t="n"/>
    </row>
    <row r="13">
      <c r="A13" s="6" t="inlineStr">
        <is>
          <t>Reported Operating Income</t>
        </is>
      </c>
      <c r="B13" s="9">
        <f>IF(OR(B12="",B11=""),"",B12-B11)</f>
        <v/>
      </c>
      <c r="C13" s="9">
        <f>IF(OR(C12="",C11=""),"",C12-C11)</f>
        <v/>
      </c>
      <c r="D13" s="9">
        <f>IF(OR(D12="",D11=""),"",D12-D11)</f>
        <v/>
      </c>
      <c r="E13" s="9">
        <f>IF(OR(E12="",E11=""),"",E12-E11)</f>
        <v/>
      </c>
      <c r="F13" s="9">
        <f>IF(OR(F12="",F11=""),"",F12-F11)</f>
        <v/>
      </c>
    </row>
    <row r="14">
      <c r="A14" s="6" t="inlineStr">
        <is>
          <t>Operating Income Check</t>
        </is>
      </c>
      <c r="B14" s="7" t="n"/>
      <c r="C14" s="7" t="n"/>
      <c r="D14" s="7" t="n"/>
      <c r="E14" s="7" t="n"/>
      <c r="F14" s="7" t="n"/>
    </row>
    <row r="15">
      <c r="A15" t="inlineStr">
        <is>
          <t>Interest Expense</t>
        </is>
      </c>
      <c r="B15" s="5" t="n">
        <v>0</v>
      </c>
      <c r="C15" s="5" t="n">
        <v>0</v>
      </c>
      <c r="D15" s="5" t="n">
        <v>3470000</v>
      </c>
      <c r="E15" s="5" t="n">
        <v>4058000</v>
      </c>
      <c r="F15" s="5" t="n">
        <v>3640000</v>
      </c>
    </row>
    <row r="16">
      <c r="A16" t="inlineStr">
        <is>
          <t>Pre-Tax Income</t>
        </is>
      </c>
      <c r="B16" s="5" t="n">
        <v>1657368000</v>
      </c>
      <c r="C16" s="5" t="n">
        <v>489173000</v>
      </c>
      <c r="D16" s="5" t="n">
        <v>237091000</v>
      </c>
      <c r="E16" s="5" t="n">
        <v>-361027000</v>
      </c>
      <c r="F16" s="5" t="n">
        <v>-488494000</v>
      </c>
    </row>
    <row r="17">
      <c r="A17" t="inlineStr">
        <is>
          <t>Taxes</t>
        </is>
      </c>
      <c r="B17" s="8">
        <f>IF(OR(B15="",B16=""),"",B15-B16)</f>
        <v/>
      </c>
      <c r="C17" s="8">
        <f>IF(OR(C15="",C16=""),"",C15-C16)</f>
        <v/>
      </c>
      <c r="D17" s="8">
        <f>IF(OR(D15="",D16=""),"",D15-D16)</f>
        <v/>
      </c>
      <c r="E17" s="8">
        <f>IF(OR(E15="",E16=""),"",E15-E16)</f>
        <v/>
      </c>
      <c r="F17" s="8">
        <f>IF(OR(F15="",F16=""),"",F15-F16)</f>
        <v/>
      </c>
    </row>
    <row r="18">
      <c r="A18" s="6" t="inlineStr">
        <is>
          <t>Calculated Net Income</t>
        </is>
      </c>
      <c r="B18" s="7" t="n"/>
      <c r="C18" s="7" t="n"/>
      <c r="D18" s="7" t="n"/>
      <c r="E18" s="7" t="n"/>
      <c r="F18" s="7" t="n"/>
    </row>
    <row r="19">
      <c r="A19" s="6" t="inlineStr">
        <is>
          <t>Reported Net Income</t>
        </is>
      </c>
      <c r="B19" s="9">
        <f>IF(OR(B18="",B17=""),"",B18-B17)</f>
        <v/>
      </c>
      <c r="C19" s="9">
        <f>IF(OR(C18="",C17=""),"",C18-C17)</f>
        <v/>
      </c>
      <c r="D19" s="9">
        <f>IF(OR(D18="",D17=""),"",D18-D17)</f>
        <v/>
      </c>
      <c r="E19" s="9">
        <f>IF(OR(E18="",E17=""),"",E18-E17)</f>
        <v/>
      </c>
      <c r="F19" s="9">
        <f>IF(OR(F18="",F17=""),"",F18-F17)</f>
        <v/>
      </c>
    </row>
    <row r="20">
      <c r="A20" s="6" t="inlineStr">
        <is>
          <t>Net Income Check</t>
        </is>
      </c>
      <c r="B20" s="7" t="n"/>
      <c r="C20" s="7" t="n"/>
      <c r="D20" s="7" t="n"/>
      <c r="E20" s="7" t="n"/>
      <c r="F20" s="7" t="n"/>
    </row>
    <row r="21">
      <c r="A21" t="inlineStr">
        <is>
          <t>Shares Outstanding</t>
        </is>
      </c>
      <c r="B21" s="8">
        <f>IFERROR(B17/B20,"")</f>
        <v/>
      </c>
      <c r="C21" s="8">
        <f>IFERROR(C17/C20,"")</f>
        <v/>
      </c>
      <c r="D21" s="8">
        <f>IFERROR(D17/D20,"")</f>
        <v/>
      </c>
      <c r="E21" s="8">
        <f>IFERROR(E17/E20,"")</f>
        <v/>
      </c>
      <c r="F21" s="8">
        <f>IFERROR(F17/F20,"")</f>
        <v/>
      </c>
    </row>
    <row r="22">
      <c r="A22" t="inlineStr">
        <is>
          <t>Calculated EPS</t>
        </is>
      </c>
      <c r="B22" s="5" t="n"/>
      <c r="C22" s="5" t="n"/>
      <c r="D22" s="5" t="n"/>
      <c r="E22" s="5" t="n"/>
      <c r="F22" s="5" t="n"/>
    </row>
    <row r="23">
      <c r="A23" t="inlineStr">
        <is>
          <t>Reported EPS</t>
        </is>
      </c>
      <c r="B23" s="8">
        <f>IF(OR(B22="",B21=""),"",B22-B21)</f>
        <v/>
      </c>
      <c r="C23" s="8">
        <f>IF(OR(C22="",C21=""),"",C22-C21)</f>
        <v/>
      </c>
      <c r="D23" s="8">
        <f>IF(OR(D22="",D21=""),"",D22-D21)</f>
        <v/>
      </c>
      <c r="E23" s="8">
        <f>IF(OR(E22="",E21=""),"",E22-E21)</f>
        <v/>
      </c>
      <c r="F23" s="8">
        <f>IF(OR(F22="",F21=""),"",F22-F21)</f>
        <v/>
      </c>
    </row>
    <row r="24">
      <c r="A24" t="inlineStr">
        <is>
          <t>EPS Check</t>
        </is>
      </c>
      <c r="B24" s="5" t="n"/>
      <c r="C24" s="5" t="n"/>
      <c r="D24" s="5" t="n"/>
      <c r="E24" s="5" t="n"/>
      <c r="F2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2025-12-31</t>
        </is>
      </c>
      <c r="C2" s="5" t="inlineStr">
        <is>
          <t>2024-12-31</t>
        </is>
      </c>
      <c r="D2" s="5" t="inlineStr">
        <is>
          <t>2023-12-31</t>
        </is>
      </c>
      <c r="E2" s="5" t="inlineStr">
        <is>
          <t>2022-12-31</t>
        </is>
      </c>
      <c r="F2" s="5" t="inlineStr">
        <is>
          <t>2021-12-31</t>
        </is>
      </c>
    </row>
    <row r="3">
      <c r="A3" t="inlineStr">
        <is>
          <t>Cash &amp; Equivalents</t>
        </is>
      </c>
      <c r="B3" s="5" t="n">
        <v>1423796000</v>
      </c>
      <c r="C3" s="5" t="n">
        <v>2098524000</v>
      </c>
      <c r="D3" s="5" t="n">
        <v>831047000</v>
      </c>
      <c r="E3" s="5" t="n">
        <v>2598540000</v>
      </c>
      <c r="F3" s="5" t="n">
        <v>2290674000</v>
      </c>
    </row>
    <row r="4">
      <c r="A4" t="inlineStr">
        <is>
          <t>Short-Term Investments</t>
        </is>
      </c>
      <c r="B4" s="5" t="n">
        <v>5753247000</v>
      </c>
      <c r="C4" s="5" t="n">
        <v>3131463000</v>
      </c>
      <c r="D4" s="5" t="n">
        <v>2843132000</v>
      </c>
      <c r="E4" s="5" t="n">
        <v>35135000</v>
      </c>
      <c r="F4" s="5" t="n">
        <v>234153000</v>
      </c>
    </row>
    <row r="5">
      <c r="A5" t="inlineStr">
        <is>
          <t>Receivables</t>
        </is>
      </c>
      <c r="B5" s="5" t="n">
        <v>1042065000</v>
      </c>
      <c r="C5" s="5" t="n">
        <v>575048000</v>
      </c>
      <c r="D5" s="5" t="n">
        <v>364784000</v>
      </c>
      <c r="E5" s="5" t="n">
        <v>258346000</v>
      </c>
      <c r="F5" s="5" t="n">
        <v>190923000</v>
      </c>
    </row>
    <row r="6">
      <c r="A6" t="inlineStr">
        <is>
          <t>Inventory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t="inlineStr">
        <is>
          <t>Other Current Assets</t>
        </is>
      </c>
      <c r="B7" s="8">
        <f>B2+B3+B4+B5+B6</f>
        <v/>
      </c>
      <c r="C7" s="8">
        <f>C2+C3+C4+C5+C6</f>
        <v/>
      </c>
      <c r="D7" s="8">
        <f>D2+D3+D4+D5+D6</f>
        <v/>
      </c>
      <c r="E7" s="8">
        <f>E2+E3+E4+E5+E6</f>
        <v/>
      </c>
      <c r="F7" s="8">
        <f>F2+F3+F4+F5+F6</f>
        <v/>
      </c>
    </row>
    <row r="8">
      <c r="A8" s="6" t="inlineStr">
        <is>
          <t>Calculated Total Current Assets</t>
        </is>
      </c>
      <c r="B8" s="7" t="n"/>
      <c r="C8" s="7" t="n"/>
      <c r="D8" s="7" t="n"/>
      <c r="E8" s="7" t="n"/>
      <c r="F8" s="7" t="n"/>
    </row>
    <row r="9">
      <c r="A9" s="6" t="inlineStr">
        <is>
          <t>Reported Total Current Assets</t>
        </is>
      </c>
      <c r="B9" s="9">
        <f>IF(OR(B8="",B7=""),"",B8-B7)</f>
        <v/>
      </c>
      <c r="C9" s="9">
        <f>IF(OR(C8="",C7=""),"",C8-C7)</f>
        <v/>
      </c>
      <c r="D9" s="9">
        <f>IF(OR(D8="",D7=""),"",D8-D7)</f>
        <v/>
      </c>
      <c r="E9" s="9">
        <f>IF(OR(E8="",E7=""),"",E8-E7)</f>
        <v/>
      </c>
      <c r="F9" s="9">
        <f>IF(OR(F8="",F7=""),"",F8-F7)</f>
        <v/>
      </c>
    </row>
    <row r="10">
      <c r="A10" s="6" t="inlineStr">
        <is>
          <t>Current Assets Check</t>
        </is>
      </c>
      <c r="B10" s="7" t="n"/>
      <c r="C10" s="7" t="n"/>
      <c r="D10" s="7" t="n"/>
      <c r="E10" s="7" t="n"/>
      <c r="F10" s="7" t="n"/>
    </row>
    <row r="11">
      <c r="A11" t="inlineStr">
        <is>
          <t>PP&amp;E, Net</t>
        </is>
      </c>
      <c r="B11" s="5" t="n">
        <v>252065000</v>
      </c>
      <c r="C11" s="5" t="n">
        <v>240378000</v>
      </c>
      <c r="D11" s="5" t="n">
        <v>230621000</v>
      </c>
      <c r="E11" s="5" t="n">
        <v>269410000</v>
      </c>
      <c r="F11" s="5" t="n">
        <v>248202000</v>
      </c>
    </row>
    <row r="12">
      <c r="A12" t="inlineStr">
        <is>
          <t>Goodwill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t="inlineStr">
        <is>
          <t>Intangibles</t>
        </is>
      </c>
      <c r="B13" s="5" t="n">
        <v>0</v>
      </c>
      <c r="C13" s="5" t="n">
        <v>18058000</v>
      </c>
      <c r="D13" s="5" t="n">
        <v>25902000</v>
      </c>
      <c r="E13" s="5" t="n">
        <v>0</v>
      </c>
      <c r="F13" s="5" t="n">
        <v>0</v>
      </c>
    </row>
    <row r="14">
      <c r="A14" t="inlineStr">
        <is>
          <t>Other Non-Current Assets</t>
        </is>
      </c>
      <c r="B14" s="8">
        <f>B7+B10+B11+B12+B13</f>
        <v/>
      </c>
      <c r="C14" s="8">
        <f>C7+C10+C11+C12+C13</f>
        <v/>
      </c>
      <c r="D14" s="8">
        <f>D7+D10+D11+D12+D13</f>
        <v/>
      </c>
      <c r="E14" s="8">
        <f>E7+E10+E11+E12+E13</f>
        <v/>
      </c>
      <c r="F14" s="8">
        <f>F7+F10+F11+F12+F13</f>
        <v/>
      </c>
    </row>
    <row r="15">
      <c r="A15" s="6" t="inlineStr">
        <is>
          <t>Calculated Total Assets</t>
        </is>
      </c>
      <c r="B15" s="7" t="n"/>
      <c r="C15" s="7" t="n"/>
      <c r="D15" s="7" t="n"/>
      <c r="E15" s="7" t="n"/>
      <c r="F15" s="7" t="n"/>
    </row>
    <row r="16">
      <c r="A16" s="6" t="inlineStr">
        <is>
          <t>Reported Total Assets</t>
        </is>
      </c>
      <c r="B16" s="9">
        <f>IF(OR(B15="",B14=""),"",B15-B14)</f>
        <v/>
      </c>
      <c r="C16" s="9">
        <f>IF(OR(C15="",C14=""),"",C15-C14)</f>
        <v/>
      </c>
      <c r="D16" s="9">
        <f>IF(OR(D15="",D14=""),"",D15-D14)</f>
        <v/>
      </c>
      <c r="E16" s="9">
        <f>IF(OR(E15="",E14=""),"",E15-E14)</f>
        <v/>
      </c>
      <c r="F16" s="9">
        <f>IF(OR(F15="",F14=""),"",F15-F14)</f>
        <v/>
      </c>
    </row>
    <row r="17">
      <c r="A17" s="6" t="inlineStr">
        <is>
          <t>Total Assets Check</t>
        </is>
      </c>
      <c r="B17" s="7" t="n"/>
      <c r="C17" s="7" t="n"/>
      <c r="D17" s="7" t="n"/>
      <c r="E17" s="7" t="n"/>
      <c r="F17" s="7" t="n"/>
    </row>
    <row r="18">
      <c r="A18" t="inlineStr">
        <is>
          <t>Accounts Payable</t>
        </is>
      </c>
      <c r="B18" s="5" t="n">
        <v>8064000</v>
      </c>
      <c r="C18" s="5" t="n">
        <v>103000</v>
      </c>
      <c r="D18" s="5" t="n">
        <v>12122000</v>
      </c>
      <c r="E18" s="5" t="n">
        <v>44788000</v>
      </c>
      <c r="F18" s="5" t="n">
        <v>74907000</v>
      </c>
    </row>
    <row r="19">
      <c r="A19" t="inlineStr">
        <is>
          <t>Short-Term Debt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</row>
    <row r="20">
      <c r="A20" t="inlineStr">
        <is>
          <t>Other Current Liabilities</t>
        </is>
      </c>
      <c r="B20" s="8">
        <f>B17+B18+B19</f>
        <v/>
      </c>
      <c r="C20" s="8">
        <f>C17+C18+C19</f>
        <v/>
      </c>
      <c r="D20" s="8">
        <f>D17+D18+D19</f>
        <v/>
      </c>
      <c r="E20" s="8">
        <f>E17+E18+E19</f>
        <v/>
      </c>
      <c r="F20" s="8">
        <f>F17+F18+F19</f>
        <v/>
      </c>
    </row>
    <row r="21">
      <c r="A21" s="6" t="inlineStr">
        <is>
          <t>Calculated Total Current Liabilities</t>
        </is>
      </c>
      <c r="B21" s="7" t="n"/>
      <c r="C21" s="7" t="n"/>
      <c r="D21" s="7" t="n"/>
      <c r="E21" s="7" t="n"/>
      <c r="F21" s="7" t="n"/>
    </row>
    <row r="22">
      <c r="A22" s="6" t="inlineStr">
        <is>
          <t>Reported Total Current Liabilities</t>
        </is>
      </c>
      <c r="B22" s="9">
        <f>IF(OR(B21="",B20=""),"",B21-B20)</f>
        <v/>
      </c>
      <c r="C22" s="9">
        <f>IF(OR(C21="",C20=""),"",C21-C20)</f>
        <v/>
      </c>
      <c r="D22" s="9">
        <f>IF(OR(D21="",D20=""),"",D21-D20)</f>
        <v/>
      </c>
      <c r="E22" s="9">
        <f>IF(OR(E21="",E20=""),"",E21-E20)</f>
        <v/>
      </c>
      <c r="F22" s="9">
        <f>IF(OR(F21="",F20=""),"",F21-F20)</f>
        <v/>
      </c>
    </row>
    <row r="23">
      <c r="A23" s="6" t="inlineStr">
        <is>
          <t>Current Liabilities Check</t>
        </is>
      </c>
      <c r="B23" s="7" t="n"/>
      <c r="C23" s="7" t="n"/>
      <c r="D23" s="7" t="n"/>
      <c r="E23" s="7" t="n"/>
      <c r="F23" s="7" t="n"/>
    </row>
    <row r="24">
      <c r="A24" t="inlineStr">
        <is>
          <t>Long-Term Debt</t>
        </is>
      </c>
      <c r="B24" s="5" t="n">
        <v>183474000</v>
      </c>
      <c r="C24" s="5" t="n">
        <v>0</v>
      </c>
      <c r="D24" s="5" t="n">
        <v>0</v>
      </c>
      <c r="E24" s="5" t="n">
        <v>0</v>
      </c>
      <c r="F24" s="5" t="n">
        <v>0</v>
      </c>
    </row>
    <row r="25">
      <c r="A25" t="inlineStr">
        <is>
          <t>Other Non-Current Liabilities</t>
        </is>
      </c>
      <c r="B25" s="8">
        <f>B20+B23+B24</f>
        <v/>
      </c>
      <c r="C25" s="8">
        <f>C20+C23+C24</f>
        <v/>
      </c>
      <c r="D25" s="8">
        <f>D20+D23+D24</f>
        <v/>
      </c>
      <c r="E25" s="8">
        <f>E20+E23+E24</f>
        <v/>
      </c>
      <c r="F25" s="8">
        <f>F20+F23+F24</f>
        <v/>
      </c>
    </row>
    <row r="26">
      <c r="A26" s="6" t="inlineStr">
        <is>
          <t>Calculated Total Liabilities</t>
        </is>
      </c>
      <c r="B26" s="7" t="n"/>
      <c r="C26" s="7" t="n"/>
      <c r="D26" s="7" t="n"/>
      <c r="E26" s="7" t="n"/>
      <c r="F26" s="7" t="n"/>
    </row>
    <row r="27">
      <c r="A27" s="6" t="inlineStr">
        <is>
          <t>Reported Total Liabilities</t>
        </is>
      </c>
      <c r="B27" s="9">
        <f>IF(OR(B26="",B25=""),"",B26-B25)</f>
        <v/>
      </c>
      <c r="C27" s="9">
        <f>IF(OR(C26="",C25=""),"",C26-C25)</f>
        <v/>
      </c>
      <c r="D27" s="9">
        <f>IF(OR(D26="",D25=""),"",D26-D25)</f>
        <v/>
      </c>
      <c r="E27" s="9">
        <f>IF(OR(E26="",E25=""),"",E26-E25)</f>
        <v/>
      </c>
      <c r="F27" s="9">
        <f>IF(OR(F26="",F25=""),"",F26-F25)</f>
        <v/>
      </c>
    </row>
    <row r="28">
      <c r="A28" s="6" t="inlineStr">
        <is>
          <t>Total Liabilities Check</t>
        </is>
      </c>
      <c r="B28" s="7" t="n"/>
      <c r="C28" s="7" t="n"/>
      <c r="D28" s="7" t="n"/>
      <c r="E28" s="7" t="n"/>
      <c r="F28" s="7" t="n"/>
    </row>
    <row r="29">
      <c r="A29" t="inlineStr">
        <is>
          <t>Common Stock</t>
        </is>
      </c>
      <c r="B29" s="5" t="n">
        <v>2391000</v>
      </c>
      <c r="C29" s="5" t="n">
        <v>2339000</v>
      </c>
      <c r="D29" s="5" t="n">
        <v>2200000</v>
      </c>
      <c r="E29" s="5" t="n">
        <v>2099000</v>
      </c>
      <c r="F29" s="5" t="n">
        <v>2027000</v>
      </c>
    </row>
    <row r="30">
      <c r="A30" t="inlineStr">
        <is>
          <t>Retained Earnings</t>
        </is>
      </c>
      <c r="B30" s="8">
        <f>B28+B29</f>
        <v/>
      </c>
      <c r="C30" s="8">
        <f>C28+C29</f>
        <v/>
      </c>
      <c r="D30" s="8">
        <f>D28+D29</f>
        <v/>
      </c>
      <c r="E30" s="8">
        <f>E28+E29</f>
        <v/>
      </c>
      <c r="F30" s="8">
        <f>F28+F29</f>
        <v/>
      </c>
    </row>
    <row r="31">
      <c r="A31" s="6" t="inlineStr">
        <is>
          <t>Calculated Total Equity</t>
        </is>
      </c>
      <c r="B31" s="7" t="n"/>
      <c r="C31" s="7" t="n"/>
      <c r="D31" s="7" t="n"/>
      <c r="E31" s="7" t="n"/>
      <c r="F31" s="7" t="n"/>
    </row>
    <row r="32">
      <c r="A32" s="6" t="inlineStr">
        <is>
          <t>Reported Total Equity</t>
        </is>
      </c>
      <c r="B32" s="9">
        <f>IF(OR(B31="",B30=""),"",B31-B30)</f>
        <v/>
      </c>
      <c r="C32" s="9">
        <f>IF(OR(C31="",C30=""),"",C31-C30)</f>
        <v/>
      </c>
      <c r="D32" s="9">
        <f>IF(OR(D31="",D30=""),"",D31-D30)</f>
        <v/>
      </c>
      <c r="E32" s="9">
        <f>IF(OR(E31="",E30=""),"",E31-E30)</f>
        <v/>
      </c>
      <c r="F32" s="9">
        <f>IF(OR(F31="",F30=""),"",F31-F30)</f>
        <v/>
      </c>
    </row>
    <row r="33">
      <c r="A33" s="6" t="inlineStr">
        <is>
          <t>Equity Check</t>
        </is>
      </c>
      <c r="B33" s="9">
        <f>B25+B30</f>
        <v/>
      </c>
      <c r="C33" s="9">
        <f>C25+C30</f>
        <v/>
      </c>
      <c r="D33" s="9">
        <f>D25+D30</f>
        <v/>
      </c>
      <c r="E33" s="9">
        <f>E25+E30</f>
        <v/>
      </c>
      <c r="F33" s="9">
        <f>F25+F30</f>
        <v/>
      </c>
    </row>
    <row r="34">
      <c r="A34" t="inlineStr">
        <is>
          <t>Calculated Total Liabilities + Equity</t>
        </is>
      </c>
      <c r="B34" s="8">
        <f>IF(OR(B15="",B33=""),"",B15-B33)</f>
        <v/>
      </c>
      <c r="C34" s="8">
        <f>IF(OR(C15="",C33=""),"",C15-C33)</f>
        <v/>
      </c>
      <c r="D34" s="8">
        <f>IF(OR(D15="",D33=""),"",D15-D33)</f>
        <v/>
      </c>
      <c r="E34" s="8">
        <f>IF(OR(E15="",E33=""),"",E15-E33)</f>
        <v/>
      </c>
      <c r="F34" s="8">
        <f>IF(OR(F15="",F33=""),"",F15-F33)</f>
        <v/>
      </c>
    </row>
    <row r="35">
      <c r="A35" s="6" t="inlineStr">
        <is>
          <t>L+E Check</t>
        </is>
      </c>
      <c r="B35" s="7" t="n"/>
      <c r="C35" s="7" t="n"/>
      <c r="D35" s="7" t="n"/>
      <c r="E35" s="7" t="n"/>
      <c r="F35" s="7" t="n"/>
    </row>
    <row r="36">
      <c r="A36" t="inlineStr">
        <is>
          <t>Reported Total Debt</t>
        </is>
      </c>
      <c r="B36" s="5" t="n">
        <v>412812000</v>
      </c>
      <c r="C36" s="5" t="n">
        <v>239219000</v>
      </c>
      <c r="D36" s="5" t="n">
        <v>229392000</v>
      </c>
      <c r="E36" s="5" t="n">
        <v>249404000</v>
      </c>
      <c r="F36" s="5" t="n">
        <v>260073000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n"/>
    </row>
    <row r="2">
      <c r="A2" t="inlineStr">
        <is>
          <t>Line Item</t>
        </is>
      </c>
      <c r="B2" s="5" t="inlineStr">
        <is>
          <t>2025-12-31</t>
        </is>
      </c>
      <c r="C2" s="5" t="inlineStr">
        <is>
          <t>2024-12-31</t>
        </is>
      </c>
      <c r="D2" s="5" t="inlineStr">
        <is>
          <t>2023-12-31</t>
        </is>
      </c>
      <c r="E2" s="5" t="inlineStr">
        <is>
          <t>2022-12-31</t>
        </is>
      </c>
      <c r="F2" s="5" t="inlineStr">
        <is>
          <t>2021-12-31</t>
        </is>
      </c>
    </row>
    <row r="3">
      <c r="A3" s="6" t="inlineStr">
        <is>
          <t>Reported Net Income</t>
        </is>
      </c>
      <c r="B3" s="7" t="n">
        <v>1634644000</v>
      </c>
      <c r="C3" s="7" t="n">
        <v>467918000</v>
      </c>
      <c r="D3" s="7" t="n">
        <v>217375000</v>
      </c>
      <c r="E3" s="7" t="n">
        <v>-371094000</v>
      </c>
      <c r="F3" s="7" t="n">
        <v>-520379000</v>
      </c>
    </row>
    <row r="4">
      <c r="A4" t="inlineStr">
        <is>
          <t>D&amp;A</t>
        </is>
      </c>
      <c r="B4" s="5" t="n">
        <v>26145000</v>
      </c>
      <c r="C4" s="5" t="n">
        <v>31587000</v>
      </c>
      <c r="D4" s="5" t="n">
        <v>33354000</v>
      </c>
      <c r="E4" s="5" t="n">
        <v>22522000</v>
      </c>
      <c r="F4" s="5" t="n">
        <v>14897000</v>
      </c>
    </row>
    <row r="5">
      <c r="A5" t="inlineStr">
        <is>
          <t>Stock-Based Compensation</t>
        </is>
      </c>
      <c r="B5" s="5" t="n">
        <v>684033000</v>
      </c>
      <c r="C5" s="5" t="n">
        <v>691638000</v>
      </c>
      <c r="D5" s="5" t="n">
        <v>475903000</v>
      </c>
      <c r="E5" s="5" t="n">
        <v>564798000</v>
      </c>
      <c r="F5" s="5" t="n">
        <v>778215000</v>
      </c>
    </row>
    <row r="6">
      <c r="A6" t="inlineStr">
        <is>
          <t>Change in Working Capital</t>
        </is>
      </c>
      <c r="B6" s="8">
        <f>B2+B3+B4-B5</f>
        <v/>
      </c>
      <c r="C6" s="8">
        <f>C2+C3+C4-C5</f>
        <v/>
      </c>
      <c r="D6" s="8">
        <f>D2+D3+D4-D5</f>
        <v/>
      </c>
      <c r="E6" s="8">
        <f>E2+E3+E4-E5</f>
        <v/>
      </c>
      <c r="F6" s="8">
        <f>F2+F3+F4-F5</f>
        <v/>
      </c>
    </row>
    <row r="7">
      <c r="A7" s="6" t="inlineStr">
        <is>
          <t>Calculated CFO</t>
        </is>
      </c>
      <c r="B7" s="7" t="n"/>
      <c r="C7" s="7" t="n"/>
      <c r="D7" s="7" t="n"/>
      <c r="E7" s="7" t="n"/>
      <c r="F7" s="7" t="n"/>
    </row>
    <row r="8">
      <c r="A8" s="6" t="inlineStr">
        <is>
          <t>Reported CFO</t>
        </is>
      </c>
      <c r="B8" s="9">
        <f>IF(OR(B7="",B6=""),"",B7-B6)</f>
        <v/>
      </c>
      <c r="C8" s="9">
        <f>IF(OR(C7="",C6=""),"",C7-C6)</f>
        <v/>
      </c>
      <c r="D8" s="9">
        <f>IF(OR(D7="",D6=""),"",D7-D6)</f>
        <v/>
      </c>
      <c r="E8" s="9">
        <f>IF(OR(E7="",E6=""),"",E7-E6)</f>
        <v/>
      </c>
      <c r="F8" s="9">
        <f>IF(OR(F7="",F6=""),"",F7-F6)</f>
        <v/>
      </c>
    </row>
    <row r="9">
      <c r="A9" s="6" t="inlineStr">
        <is>
          <t>CFO Check</t>
        </is>
      </c>
      <c r="B9" s="7" t="n"/>
      <c r="C9" s="7" t="n"/>
      <c r="D9" s="7" t="n"/>
      <c r="E9" s="7" t="n"/>
      <c r="F9" s="7" t="n"/>
    </row>
    <row r="10">
      <c r="A10" t="inlineStr">
        <is>
          <t>Capex</t>
        </is>
      </c>
      <c r="B10" s="5" t="n">
        <v>-33882000</v>
      </c>
      <c r="C10" s="5" t="n">
        <v>-12634000</v>
      </c>
      <c r="D10" s="5" t="n">
        <v>-15114000</v>
      </c>
      <c r="E10" s="5" t="n">
        <v>-40027000</v>
      </c>
      <c r="F10" s="5" t="n">
        <v>-12627000</v>
      </c>
    </row>
    <row r="11">
      <c r="A11" t="inlineStr">
        <is>
          <t>Acquisitions</t>
        </is>
      </c>
      <c r="B11" s="8">
        <f>B9+B10</f>
        <v/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</row>
    <row r="12">
      <c r="A12" s="6" t="inlineStr">
        <is>
          <t>Calculated CFI</t>
        </is>
      </c>
      <c r="B12" s="7" t="n"/>
      <c r="C12" s="7" t="n"/>
      <c r="D12" s="7" t="n"/>
      <c r="E12" s="7" t="n"/>
      <c r="F12" s="7" t="n"/>
    </row>
    <row r="13">
      <c r="A13" s="6" t="inlineStr">
        <is>
          <t>Reported CFI</t>
        </is>
      </c>
      <c r="B13" s="9">
        <f>IF(OR(B12="",B11=""),"",B12-B11)</f>
        <v/>
      </c>
      <c r="C13" s="9">
        <f>IF(OR(C12="",C11=""),"",C12-C11)</f>
        <v/>
      </c>
      <c r="D13" s="9">
        <f>IF(OR(D12="",D11=""),"",D12-D11)</f>
        <v/>
      </c>
      <c r="E13" s="9">
        <f>IF(OR(E12="",E11=""),"",E12-E11)</f>
        <v/>
      </c>
      <c r="F13" s="9">
        <f>IF(OR(F12="",F11=""),"",F12-F11)</f>
        <v/>
      </c>
    </row>
    <row r="14">
      <c r="A14" s="6" t="inlineStr">
        <is>
          <t>CFI Check</t>
        </is>
      </c>
      <c r="B14" s="7" t="n"/>
      <c r="C14" s="7" t="n"/>
      <c r="D14" s="7" t="n"/>
      <c r="E14" s="7" t="n"/>
      <c r="F14" s="7" t="n"/>
    </row>
    <row r="15">
      <c r="A15" t="inlineStr">
        <is>
          <t>Debt Repayment</t>
        </is>
      </c>
      <c r="B15" s="5" t="n">
        <v/>
      </c>
      <c r="C15" s="5" t="n">
        <v/>
      </c>
      <c r="D15" s="5" t="n">
        <v/>
      </c>
      <c r="E15" s="5" t="n">
        <v/>
      </c>
      <c r="F15" s="5" t="n">
        <v/>
      </c>
    </row>
    <row r="16">
      <c r="A16" t="inlineStr">
        <is>
          <t>Stock Issued</t>
        </is>
      </c>
      <c r="B16" s="5" t="n">
        <v/>
      </c>
      <c r="C16" s="5" t="n">
        <v/>
      </c>
      <c r="D16" s="5" t="n">
        <v/>
      </c>
      <c r="E16" s="5" t="n">
        <v/>
      </c>
      <c r="F16" s="5" t="n">
        <v/>
      </c>
    </row>
    <row r="17">
      <c r="A17" t="inlineStr">
        <is>
          <t>Stock Repurchased</t>
        </is>
      </c>
      <c r="B17" s="5" t="n">
        <v>-74985000</v>
      </c>
      <c r="C17" s="5" t="n">
        <v>-64196000</v>
      </c>
      <c r="D17" s="5" t="n">
        <v>0</v>
      </c>
      <c r="E17" s="5" t="n">
        <v>0</v>
      </c>
      <c r="F17" s="5" t="n">
        <v>0</v>
      </c>
    </row>
    <row r="18">
      <c r="A18" t="inlineStr">
        <is>
          <t>Dividends Paid</t>
        </is>
      </c>
      <c r="B18" s="8">
        <f>B14+B15+B16+B17</f>
        <v/>
      </c>
      <c r="C18" s="8">
        <f>C14+C15+C16+C17</f>
        <v/>
      </c>
      <c r="D18" s="8">
        <f>D14+D15+D16+D17</f>
        <v/>
      </c>
      <c r="E18" s="8">
        <f>E14+E15+E16+E17</f>
        <v/>
      </c>
      <c r="F18" s="8">
        <f>F14+F15+F16+F17</f>
        <v/>
      </c>
    </row>
    <row r="19">
      <c r="A19" s="6" t="inlineStr">
        <is>
          <t>Calculated CFF</t>
        </is>
      </c>
      <c r="B19" s="7" t="n"/>
      <c r="C19" s="7" t="n"/>
      <c r="D19" s="7" t="n"/>
      <c r="E19" s="7" t="n"/>
      <c r="F19" s="7" t="n"/>
    </row>
    <row r="20">
      <c r="A20" s="6" t="inlineStr">
        <is>
          <t>Reported CFF</t>
        </is>
      </c>
      <c r="B20" s="9">
        <f>IF(OR(B19="",B18=""),"",B19-B18)</f>
        <v/>
      </c>
      <c r="C20" s="9">
        <f>IF(OR(C19="",C18=""),"",C19-C18)</f>
        <v/>
      </c>
      <c r="D20" s="9">
        <f>IF(OR(D19="",D18=""),"",D19-D18)</f>
        <v/>
      </c>
      <c r="E20" s="9">
        <f>IF(OR(E19="",E18=""),"",E19-E18)</f>
        <v/>
      </c>
      <c r="F20" s="9">
        <f>IF(OR(F19="",F18=""),"",F19-F18)</f>
        <v/>
      </c>
    </row>
    <row r="21">
      <c r="A21" s="6" t="inlineStr">
        <is>
          <t>CFF Check</t>
        </is>
      </c>
      <c r="B21" s="9">
        <f>B6+B9</f>
        <v/>
      </c>
      <c r="C21" s="9">
        <f>C6+C9</f>
        <v/>
      </c>
      <c r="D21" s="9">
        <f>D6+D9</f>
        <v/>
      </c>
      <c r="E21" s="9">
        <f>E6+E9</f>
        <v/>
      </c>
      <c r="F21" s="9">
        <f>F6+F9</f>
        <v/>
      </c>
    </row>
    <row r="22">
      <c r="A22" s="6" t="inlineStr">
        <is>
          <t>Calculated FCF</t>
        </is>
      </c>
      <c r="B22" s="7" t="n"/>
      <c r="C22" s="7" t="n"/>
      <c r="D22" s="7" t="n"/>
      <c r="E22" s="7" t="n"/>
      <c r="F22" s="7" t="n"/>
    </row>
    <row r="23">
      <c r="A23" s="6" t="inlineStr">
        <is>
          <t>Reported Free Cash Flow</t>
        </is>
      </c>
      <c r="B23" s="9">
        <f>IF(OR(B22="",B21=""),"",B22-B21)</f>
        <v/>
      </c>
      <c r="C23" s="9">
        <f>IF(OR(C22="",C21=""),"",C22-C21)</f>
        <v/>
      </c>
      <c r="D23" s="9">
        <f>IF(OR(D22="",D21=""),"",D22-D21)</f>
        <v/>
      </c>
      <c r="E23" s="9">
        <f>IF(OR(E22="",E21=""),"",E22-E21)</f>
        <v/>
      </c>
      <c r="F23" s="9">
        <f>IF(OR(F22="",F21=""),"",F22-F21)</f>
        <v/>
      </c>
    </row>
    <row r="24">
      <c r="A24" s="6" t="inlineStr">
        <is>
          <t>FCF Check</t>
        </is>
      </c>
      <c r="B24" s="7" t="n"/>
      <c r="C24" s="7" t="n"/>
      <c r="D24" s="7" t="n"/>
      <c r="E24" s="7" t="n"/>
      <c r="F2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0" t="inlineStr">
        <is>
          <t>Check</t>
        </is>
      </c>
      <c r="B1" s="10" t="inlineStr">
        <is>
          <t>Meaning</t>
        </is>
      </c>
    </row>
    <row r="2">
      <c r="A2" s="2" t="inlineStr">
        <is>
          <t>IS Checks</t>
        </is>
      </c>
      <c r="B2" s="2" t="inlineStr">
        <is>
          <t>Compare reported vs calculated Gross Profit / Operating Income / Net Income / EPS</t>
        </is>
      </c>
    </row>
    <row r="3">
      <c r="A3" s="2" t="inlineStr">
        <is>
          <t>BS Checks</t>
        </is>
      </c>
      <c r="B3" s="2" t="inlineStr">
        <is>
          <t>Compare reported vs calculated Current Assets / Assets / Liabilities / Equity / L+E</t>
        </is>
      </c>
    </row>
    <row r="4">
      <c r="A4" s="2" t="inlineStr">
        <is>
          <t>CF Checks</t>
        </is>
      </c>
      <c r="B4" s="2" t="inlineStr">
        <is>
          <t>Compare reported vs calculated CFO / CFI / CFF / FCF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2026-03-17T11:53:01Z</dcterms:created>
  <dcterms:modified xsi:type="dcterms:W3CDTF">2026-03-17T11:53:01Z</dcterms:modified>
</cp:coreProperties>
</file>