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_Raw" sheetId="1" state="visible" r:id="rId1"/>
    <sheet name="BS_Raw" sheetId="2" state="visible" r:id="rId2"/>
    <sheet name="CF_Raw" sheetId="3" state="visible" r:id="rId3"/>
    <sheet name="IS_Mapped" sheetId="4" state="visible" r:id="rId4"/>
    <sheet name="BS_Mapped" sheetId="5" state="visible" r:id="rId5"/>
    <sheet name="CF_Mapped" sheetId="6" state="visible" r:id="rId6"/>
    <sheet name="Mapping_Log" sheetId="7" state="visible" r:id="rId7"/>
    <sheet name="IS_Model" sheetId="8" state="visible" r:id="rId8"/>
    <sheet name="BS_Model" sheetId="9" state="visible" r:id="rId9"/>
    <sheet name="CF_Model" sheetId="10" state="visible" r:id="rId10"/>
    <sheet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1F1F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9E480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7" fontId="0" fillId="0" borderId="1" pivotButton="0" quotePrefix="0" xfId="0"/>
    <xf numFmtId="0" fontId="1" fillId="3" borderId="1" applyAlignment="1" pivotButton="0" quotePrefix="0" xfId="0">
      <alignment horizontal="center"/>
    </xf>
    <xf numFmtId="37" fontId="0" fillId="0" borderId="0" pivotButton="0" quotePrefix="0" xfId="0"/>
    <xf numFmtId="0" fontId="2" fillId="4" borderId="0" pivotButton="0" quotePrefix="0" xfId="0"/>
    <xf numFmtId="37" fontId="2" fillId="4" borderId="0" pivotButton="0" quotePrefix="0" xfId="0"/>
    <xf numFmtId="37" fontId="0" fillId="5" borderId="0" pivotButton="0" quotePrefix="0" xfId="0"/>
    <xf numFmtId="37" fontId="2" fillId="5" borderId="0" pivotButton="0" quotePrefix="0" xfId="0"/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2" customWidth="1" min="4" max="4"/>
    <col width="12" customWidth="1" min="5" max="5"/>
    <col width="21" customWidth="1" min="6" max="6"/>
    <col width="12" customWidth="1" min="7" max="7"/>
    <col width="8" customWidth="1" min="8" max="8"/>
    <col width="14" customWidth="1" min="9" max="9"/>
    <col width="15" customWidth="1" min="10" max="10"/>
    <col width="14" customWidth="1" min="11" max="11"/>
    <col width="28" customWidth="1" min="12" max="12"/>
    <col width="28" customWidth="1" min="13" max="13"/>
    <col width="28" customWidth="1" min="14" max="14"/>
    <col width="28" customWidth="1" min="15" max="15"/>
    <col width="15" customWidth="1" min="16" max="16"/>
    <col width="19" customWidth="1" min="17" max="17"/>
    <col width="17" customWidth="1" min="18" max="18"/>
    <col width="19" customWidth="1" min="19" max="19"/>
    <col width="16" customWidth="1" min="20" max="20"/>
    <col width="17" customWidth="1" min="21" max="21"/>
    <col width="28" customWidth="1" min="22" max="22"/>
    <col width="14" customWidth="1" min="23" max="23"/>
    <col width="14" customWidth="1" min="24" max="24"/>
    <col width="28" customWidth="1" min="25" max="25"/>
    <col width="17" customWidth="1" min="26" max="26"/>
    <col width="28" customWidth="1" min="27" max="27"/>
    <col width="17" customWidth="1" min="28" max="28"/>
    <col width="18" customWidth="1" min="29" max="29"/>
    <col width="28" customWidth="1" min="30" max="30"/>
    <col width="28" customWidth="1" min="31" max="31"/>
    <col width="28" customWidth="1" min="32" max="32"/>
    <col width="14" customWidth="1" min="33" max="33"/>
    <col width="21" customWidth="1" min="34" max="34"/>
    <col width="21" customWidth="1" min="35" max="35"/>
    <col width="6" customWidth="1" min="36" max="36"/>
    <col width="12" customWidth="1" min="37" max="37"/>
    <col width="23" customWidth="1" min="38" max="38"/>
    <col width="26" customWidth="1" min="39" max="3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reportedCurrency</t>
        </is>
      </c>
      <c r="D1" s="1" t="inlineStr">
        <is>
          <t>cik</t>
        </is>
      </c>
      <c r="E1" s="1" t="inlineStr">
        <is>
          <t>filingDate</t>
        </is>
      </c>
      <c r="F1" s="1" t="inlineStr">
        <is>
          <t>acceptedDate</t>
        </is>
      </c>
      <c r="G1" s="1" t="inlineStr">
        <is>
          <t>fiscalYear</t>
        </is>
      </c>
      <c r="H1" s="1" t="inlineStr">
        <is>
          <t>period</t>
        </is>
      </c>
      <c r="I1" s="1" t="inlineStr">
        <is>
          <t>revenue</t>
        </is>
      </c>
      <c r="J1" s="1" t="inlineStr">
        <is>
          <t>costOfRevenue</t>
        </is>
      </c>
      <c r="K1" s="1" t="inlineStr">
        <is>
          <t>grossProfit</t>
        </is>
      </c>
      <c r="L1" s="1" t="inlineStr">
        <is>
          <t>researchAndDevelopmentExpenses</t>
        </is>
      </c>
      <c r="M1" s="1" t="inlineStr">
        <is>
          <t>generalAndAdministrativeExpenses</t>
        </is>
      </c>
      <c r="N1" s="1" t="inlineStr">
        <is>
          <t>sellingAndMarketingExpenses</t>
        </is>
      </c>
      <c r="O1" s="1" t="inlineStr">
        <is>
          <t>sellingGeneralAndAdministrativeExpenses</t>
        </is>
      </c>
      <c r="P1" s="1" t="inlineStr">
        <is>
          <t>otherExpenses</t>
        </is>
      </c>
      <c r="Q1" s="1" t="inlineStr">
        <is>
          <t>operatingExpenses</t>
        </is>
      </c>
      <c r="R1" s="1" t="inlineStr">
        <is>
          <t>costAndExpenses</t>
        </is>
      </c>
      <c r="S1" s="1" t="inlineStr">
        <is>
          <t>netInterestIncome</t>
        </is>
      </c>
      <c r="T1" s="1" t="inlineStr">
        <is>
          <t>interestIncome</t>
        </is>
      </c>
      <c r="U1" s="1" t="inlineStr">
        <is>
          <t>interestExpense</t>
        </is>
      </c>
      <c r="V1" s="1" t="inlineStr">
        <is>
          <t>depreciationAndAmortization</t>
        </is>
      </c>
      <c r="W1" s="1" t="inlineStr">
        <is>
          <t>ebitda</t>
        </is>
      </c>
      <c r="X1" s="1" t="inlineStr">
        <is>
          <t>ebit</t>
        </is>
      </c>
      <c r="Y1" s="1" t="inlineStr">
        <is>
          <t>nonOperatingIncomeExcludingInterest</t>
        </is>
      </c>
      <c r="Z1" s="1" t="inlineStr">
        <is>
          <t>operatingIncome</t>
        </is>
      </c>
      <c r="AA1" s="1" t="inlineStr">
        <is>
          <t>totalOtherIncomeExpensesNet</t>
        </is>
      </c>
      <c r="AB1" s="1" t="inlineStr">
        <is>
          <t>incomeBeforeTax</t>
        </is>
      </c>
      <c r="AC1" s="1" t="inlineStr">
        <is>
          <t>incomeTaxExpense</t>
        </is>
      </c>
      <c r="AD1" s="1" t="inlineStr">
        <is>
          <t>netIncomeFromContinuingOperations</t>
        </is>
      </c>
      <c r="AE1" s="1" t="inlineStr">
        <is>
          <t>netIncomeFromDiscontinuedOperations</t>
        </is>
      </c>
      <c r="AF1" s="1" t="inlineStr">
        <is>
          <t>otherAdjustmentsToNetIncome</t>
        </is>
      </c>
      <c r="AG1" s="1" t="inlineStr">
        <is>
          <t>netIncome</t>
        </is>
      </c>
      <c r="AH1" s="1" t="inlineStr">
        <is>
          <t>netIncomeDeductions</t>
        </is>
      </c>
      <c r="AI1" s="1" t="inlineStr">
        <is>
          <t>bottomLineNetIncome</t>
        </is>
      </c>
      <c r="AJ1" s="1" t="inlineStr">
        <is>
          <t>eps</t>
        </is>
      </c>
      <c r="AK1" s="1" t="inlineStr">
        <is>
          <t>epsDiluted</t>
        </is>
      </c>
      <c r="AL1" s="1" t="inlineStr">
        <is>
          <t>weightedAverageShsOut</t>
        </is>
      </c>
      <c r="AM1" s="1" t="inlineStr">
        <is>
          <t>weightedAverageShsOutDil</t>
        </is>
      </c>
    </row>
    <row r="2">
      <c r="A2" s="2" t="inlineStr">
        <is>
          <t>2025-09-27</t>
        </is>
      </c>
      <c r="B2" s="2" t="inlineStr">
        <is>
          <t>AAPL</t>
        </is>
      </c>
      <c r="C2" s="2" t="inlineStr">
        <is>
          <t>USD</t>
        </is>
      </c>
      <c r="D2" s="2" t="inlineStr">
        <is>
          <t>0000320193</t>
        </is>
      </c>
      <c r="E2" s="2" t="inlineStr">
        <is>
          <t>2025-10-31</t>
        </is>
      </c>
      <c r="F2" s="2" t="inlineStr">
        <is>
          <t>2025-10-31 06:01:26</t>
        </is>
      </c>
      <c r="G2" s="2" t="inlineStr">
        <is>
          <t>2025</t>
        </is>
      </c>
      <c r="H2" s="2" t="inlineStr">
        <is>
          <t>FY</t>
        </is>
      </c>
      <c r="I2" s="2" t="n">
        <v>416161000000</v>
      </c>
      <c r="J2" s="2" t="n">
        <v>220960000000</v>
      </c>
      <c r="K2" s="2" t="n">
        <v>195201000000</v>
      </c>
      <c r="L2" s="2" t="n">
        <v>34550000000</v>
      </c>
      <c r="M2" s="2" t="n">
        <v>8077000000</v>
      </c>
      <c r="N2" s="2" t="n">
        <v>19524000000</v>
      </c>
      <c r="O2" s="2" t="n">
        <v>27601000000</v>
      </c>
      <c r="P2" s="2" t="n">
        <v>0</v>
      </c>
      <c r="Q2" s="2" t="n">
        <v>62151000000</v>
      </c>
      <c r="R2" s="2" t="n">
        <v>283111000000</v>
      </c>
      <c r="S2" s="2" t="n">
        <v>0</v>
      </c>
      <c r="T2" s="2" t="n">
        <v>0</v>
      </c>
      <c r="U2" s="2" t="n">
        <v>0</v>
      </c>
      <c r="V2" s="2" t="n">
        <v>11698000000</v>
      </c>
      <c r="W2" s="2" t="n">
        <v>144427000000</v>
      </c>
      <c r="X2" s="2" t="n">
        <v>132729000000</v>
      </c>
      <c r="Y2" s="2" t="n">
        <v>321000000</v>
      </c>
      <c r="Z2" s="2" t="n">
        <v>133050000000</v>
      </c>
      <c r="AA2" s="2" t="n">
        <v>-321000000</v>
      </c>
      <c r="AB2" s="2" t="n">
        <v>132729000000</v>
      </c>
      <c r="AC2" s="2" t="n">
        <v>20719000000</v>
      </c>
      <c r="AD2" s="2" t="n">
        <v>112010000000</v>
      </c>
      <c r="AE2" s="2" t="n">
        <v>0</v>
      </c>
      <c r="AF2" s="2" t="n">
        <v>0</v>
      </c>
      <c r="AG2" s="2" t="n">
        <v>112010000000</v>
      </c>
      <c r="AH2" s="2" t="n">
        <v>0</v>
      </c>
      <c r="AI2" s="2" t="n">
        <v>112010000000</v>
      </c>
      <c r="AJ2" s="2" t="n">
        <v>7.49</v>
      </c>
      <c r="AK2" s="2" t="n">
        <v>7.46</v>
      </c>
      <c r="AL2" s="2" t="n">
        <v>14948500000</v>
      </c>
      <c r="AM2" s="2" t="n">
        <v>15004697000</v>
      </c>
    </row>
    <row r="3">
      <c r="A3" s="2" t="inlineStr">
        <is>
          <t>2024-09-28</t>
        </is>
      </c>
      <c r="B3" s="2" t="inlineStr">
        <is>
          <t>AAPL</t>
        </is>
      </c>
      <c r="C3" s="2" t="inlineStr">
        <is>
          <t>USD</t>
        </is>
      </c>
      <c r="D3" s="2" t="inlineStr">
        <is>
          <t>0000320193</t>
        </is>
      </c>
      <c r="E3" s="2" t="inlineStr">
        <is>
          <t>2024-11-01</t>
        </is>
      </c>
      <c r="F3" s="2" t="inlineStr">
        <is>
          <t>2024-11-01 06:01:36</t>
        </is>
      </c>
      <c r="G3" s="2" t="inlineStr">
        <is>
          <t>2024</t>
        </is>
      </c>
      <c r="H3" s="2" t="inlineStr">
        <is>
          <t>FY</t>
        </is>
      </c>
      <c r="I3" s="2" t="n">
        <v>391035000000</v>
      </c>
      <c r="J3" s="2" t="n">
        <v>210352000000</v>
      </c>
      <c r="K3" s="2" t="n">
        <v>180683000000</v>
      </c>
      <c r="L3" s="2" t="n">
        <v>31370000000</v>
      </c>
      <c r="M3" s="2" t="n">
        <v>7458000000</v>
      </c>
      <c r="N3" s="2" t="n">
        <v>18639000000</v>
      </c>
      <c r="O3" s="2" t="n">
        <v>26097000000</v>
      </c>
      <c r="P3" s="2" t="n">
        <v>0</v>
      </c>
      <c r="Q3" s="2" t="n">
        <v>57467000000</v>
      </c>
      <c r="R3" s="2" t="n">
        <v>267819000000</v>
      </c>
      <c r="S3" s="2" t="n">
        <v>0</v>
      </c>
      <c r="T3" s="2" t="n">
        <v>0</v>
      </c>
      <c r="U3" s="2" t="n">
        <v>0</v>
      </c>
      <c r="V3" s="2" t="n">
        <v>11445000000</v>
      </c>
      <c r="W3" s="2" t="n">
        <v>134930000000</v>
      </c>
      <c r="X3" s="2" t="n">
        <v>123485000000</v>
      </c>
      <c r="Y3" s="2" t="n">
        <v>-269000000</v>
      </c>
      <c r="Z3" s="2" t="n">
        <v>123216000000</v>
      </c>
      <c r="AA3" s="2" t="n">
        <v>269000000</v>
      </c>
      <c r="AB3" s="2" t="n">
        <v>123485000000</v>
      </c>
      <c r="AC3" s="2" t="n">
        <v>29749000000</v>
      </c>
      <c r="AD3" s="2" t="n">
        <v>93736000000</v>
      </c>
      <c r="AE3" s="2" t="n">
        <v>0</v>
      </c>
      <c r="AF3" s="2" t="n">
        <v>0</v>
      </c>
      <c r="AG3" s="2" t="n">
        <v>93736000000</v>
      </c>
      <c r="AH3" s="2" t="n">
        <v>0</v>
      </c>
      <c r="AI3" s="2" t="n">
        <v>93736000000</v>
      </c>
      <c r="AJ3" s="2" t="n">
        <v>6.11</v>
      </c>
      <c r="AK3" s="2" t="n">
        <v>6.08</v>
      </c>
      <c r="AL3" s="2" t="n">
        <v>15343783000</v>
      </c>
      <c r="AM3" s="2" t="n">
        <v>15408095000</v>
      </c>
    </row>
    <row r="4">
      <c r="A4" s="2" t="inlineStr">
        <is>
          <t>2023-09-30</t>
        </is>
      </c>
      <c r="B4" s="2" t="inlineStr">
        <is>
          <t>AAPL</t>
        </is>
      </c>
      <c r="C4" s="2" t="inlineStr">
        <is>
          <t>USD</t>
        </is>
      </c>
      <c r="D4" s="2" t="inlineStr">
        <is>
          <t>0000320193</t>
        </is>
      </c>
      <c r="E4" s="2" t="inlineStr">
        <is>
          <t>2023-11-03</t>
        </is>
      </c>
      <c r="F4" s="2" t="inlineStr">
        <is>
          <t>2023-11-02 18:08:27</t>
        </is>
      </c>
      <c r="G4" s="2" t="inlineStr">
        <is>
          <t>2023</t>
        </is>
      </c>
      <c r="H4" s="2" t="inlineStr">
        <is>
          <t>FY</t>
        </is>
      </c>
      <c r="I4" s="2" t="n">
        <v>383285000000</v>
      </c>
      <c r="J4" s="2" t="n">
        <v>214137000000</v>
      </c>
      <c r="K4" s="2" t="n">
        <v>169148000000</v>
      </c>
      <c r="L4" s="2" t="n">
        <v>29915000000</v>
      </c>
      <c r="M4" s="2" t="n">
        <v>0</v>
      </c>
      <c r="N4" s="2" t="n">
        <v>0</v>
      </c>
      <c r="O4" s="2" t="n">
        <v>24932000000</v>
      </c>
      <c r="P4" s="2" t="n">
        <v>0</v>
      </c>
      <c r="Q4" s="2" t="n">
        <v>54847000000</v>
      </c>
      <c r="R4" s="2" t="n">
        <v>268984000000</v>
      </c>
      <c r="S4" s="2" t="n">
        <v>-183000000</v>
      </c>
      <c r="T4" s="2" t="n">
        <v>3750000000</v>
      </c>
      <c r="U4" s="2" t="n">
        <v>3933000000</v>
      </c>
      <c r="V4" s="2" t="n">
        <v>11519000000</v>
      </c>
      <c r="W4" s="2" t="n">
        <v>129188000000</v>
      </c>
      <c r="X4" s="2" t="n">
        <v>117669000000</v>
      </c>
      <c r="Y4" s="2" t="n">
        <v>-3368000000</v>
      </c>
      <c r="Z4" s="2" t="n">
        <v>114301000000</v>
      </c>
      <c r="AA4" s="2" t="n">
        <v>-565000000</v>
      </c>
      <c r="AB4" s="2" t="n">
        <v>113736000000</v>
      </c>
      <c r="AC4" s="2" t="n">
        <v>16741000000</v>
      </c>
      <c r="AD4" s="2" t="n">
        <v>96995000000</v>
      </c>
      <c r="AE4" s="2" t="n">
        <v>0</v>
      </c>
      <c r="AF4" s="2" t="n">
        <v>0</v>
      </c>
      <c r="AG4" s="2" t="n">
        <v>96995000000</v>
      </c>
      <c r="AH4" s="2" t="n">
        <v>0</v>
      </c>
      <c r="AI4" s="2" t="n">
        <v>96995000000</v>
      </c>
      <c r="AJ4" s="2" t="n">
        <v>6.16</v>
      </c>
      <c r="AK4" s="2" t="n">
        <v>6.13</v>
      </c>
      <c r="AL4" s="2" t="n">
        <v>15744231000</v>
      </c>
      <c r="AM4" s="2" t="n">
        <v>15812547000</v>
      </c>
    </row>
    <row r="5">
      <c r="A5" s="2" t="inlineStr">
        <is>
          <t>2022-09-24</t>
        </is>
      </c>
      <c r="B5" s="2" t="inlineStr">
        <is>
          <t>AAPL</t>
        </is>
      </c>
      <c r="C5" s="2" t="inlineStr">
        <is>
          <t>USD</t>
        </is>
      </c>
      <c r="D5" s="2" t="inlineStr">
        <is>
          <t>0000320193</t>
        </is>
      </c>
      <c r="E5" s="2" t="inlineStr">
        <is>
          <t>2022-10-28</t>
        </is>
      </c>
      <c r="F5" s="2" t="inlineStr">
        <is>
          <t>2022-10-27 18:01:14</t>
        </is>
      </c>
      <c r="G5" s="2" t="inlineStr">
        <is>
          <t>2022</t>
        </is>
      </c>
      <c r="H5" s="2" t="inlineStr">
        <is>
          <t>FY</t>
        </is>
      </c>
      <c r="I5" s="2" t="n">
        <v>394328000000</v>
      </c>
      <c r="J5" s="2" t="n">
        <v>223546000000</v>
      </c>
      <c r="K5" s="2" t="n">
        <v>170782000000</v>
      </c>
      <c r="L5" s="2" t="n">
        <v>26251000000</v>
      </c>
      <c r="M5" s="2" t="n">
        <v>0</v>
      </c>
      <c r="N5" s="2" t="n">
        <v>0</v>
      </c>
      <c r="O5" s="2" t="n">
        <v>25094000000</v>
      </c>
      <c r="P5" s="2" t="n">
        <v>0</v>
      </c>
      <c r="Q5" s="2" t="n">
        <v>51345000000</v>
      </c>
      <c r="R5" s="2" t="n">
        <v>274891000000</v>
      </c>
      <c r="S5" s="2" t="n">
        <v>-106000000</v>
      </c>
      <c r="T5" s="2" t="n">
        <v>2825000000</v>
      </c>
      <c r="U5" s="2" t="n">
        <v>2931000000</v>
      </c>
      <c r="V5" s="2" t="n">
        <v>11104000000</v>
      </c>
      <c r="W5" s="2" t="n">
        <v>133138000000</v>
      </c>
      <c r="X5" s="2" t="n">
        <v>122034000000</v>
      </c>
      <c r="Y5" s="2" t="n">
        <v>-2597000000</v>
      </c>
      <c r="Z5" s="2" t="n">
        <v>119437000000</v>
      </c>
      <c r="AA5" s="2" t="n">
        <v>-334000000</v>
      </c>
      <c r="AB5" s="2" t="n">
        <v>119103000000</v>
      </c>
      <c r="AC5" s="2" t="n">
        <v>19300000000</v>
      </c>
      <c r="AD5" s="2" t="n">
        <v>99803000000</v>
      </c>
      <c r="AE5" s="2" t="n">
        <v>0</v>
      </c>
      <c r="AF5" s="2" t="n">
        <v>0</v>
      </c>
      <c r="AG5" s="2" t="n">
        <v>99803000000</v>
      </c>
      <c r="AH5" s="2" t="n">
        <v>0</v>
      </c>
      <c r="AI5" s="2" t="n">
        <v>99803000000</v>
      </c>
      <c r="AJ5" s="2" t="n">
        <v>6.15</v>
      </c>
      <c r="AK5" s="2" t="n">
        <v>6.11</v>
      </c>
      <c r="AL5" s="2" t="n">
        <v>16215963000</v>
      </c>
      <c r="AM5" s="2" t="n">
        <v>16325819000</v>
      </c>
    </row>
    <row r="6">
      <c r="A6" s="2" t="inlineStr">
        <is>
          <t>2021-09-25</t>
        </is>
      </c>
      <c r="B6" s="2" t="inlineStr">
        <is>
          <t>AAPL</t>
        </is>
      </c>
      <c r="C6" s="2" t="inlineStr">
        <is>
          <t>USD</t>
        </is>
      </c>
      <c r="D6" s="2" t="inlineStr">
        <is>
          <t>0000320193</t>
        </is>
      </c>
      <c r="E6" s="2" t="inlineStr">
        <is>
          <t>2021-10-29</t>
        </is>
      </c>
      <c r="F6" s="2" t="inlineStr">
        <is>
          <t>2021-10-28 18:04:28</t>
        </is>
      </c>
      <c r="G6" s="2" t="inlineStr">
        <is>
          <t>2021</t>
        </is>
      </c>
      <c r="H6" s="2" t="inlineStr">
        <is>
          <t>FY</t>
        </is>
      </c>
      <c r="I6" s="2" t="n">
        <v>365817000000</v>
      </c>
      <c r="J6" s="2" t="n">
        <v>212981000000</v>
      </c>
      <c r="K6" s="2" t="n">
        <v>152836000000</v>
      </c>
      <c r="L6" s="2" t="n">
        <v>21914000000</v>
      </c>
      <c r="M6" s="2" t="n">
        <v>0</v>
      </c>
      <c r="N6" s="2" t="n">
        <v>0</v>
      </c>
      <c r="O6" s="2" t="n">
        <v>21973000000</v>
      </c>
      <c r="P6" s="2" t="n">
        <v>0</v>
      </c>
      <c r="Q6" s="2" t="n">
        <v>43887000000</v>
      </c>
      <c r="R6" s="2" t="n">
        <v>256868000000</v>
      </c>
      <c r="S6" s="2" t="n">
        <v>198000000</v>
      </c>
      <c r="T6" s="2" t="n">
        <v>2843000000</v>
      </c>
      <c r="U6" s="2" t="n">
        <v>2645000000</v>
      </c>
      <c r="V6" s="2" t="n">
        <v>11284000000</v>
      </c>
      <c r="W6" s="2" t="n">
        <v>123136000000</v>
      </c>
      <c r="X6" s="2" t="n">
        <v>111852000000</v>
      </c>
      <c r="Y6" s="2" t="n">
        <v>-2903000000</v>
      </c>
      <c r="Z6" s="2" t="n">
        <v>108949000000</v>
      </c>
      <c r="AA6" s="2" t="n">
        <v>258000000</v>
      </c>
      <c r="AB6" s="2" t="n">
        <v>109207000000</v>
      </c>
      <c r="AC6" s="2" t="n">
        <v>14527000000</v>
      </c>
      <c r="AD6" s="2" t="n">
        <v>94680000000</v>
      </c>
      <c r="AE6" s="2" t="n">
        <v>0</v>
      </c>
      <c r="AF6" s="2" t="n">
        <v>0</v>
      </c>
      <c r="AG6" s="2" t="n">
        <v>94680000000</v>
      </c>
      <c r="AH6" s="2" t="n">
        <v>0</v>
      </c>
      <c r="AI6" s="2" t="n">
        <v>94680000000</v>
      </c>
      <c r="AJ6" s="2" t="n">
        <v>5.67</v>
      </c>
      <c r="AK6" s="2" t="n">
        <v>5.61</v>
      </c>
      <c r="AL6" s="2" t="n">
        <v>16701272000</v>
      </c>
      <c r="AM6" s="2" t="n">
        <v>16864919000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2" customWidth="1" min="4" max="4"/>
    <col width="12" customWidth="1" min="5" max="5"/>
    <col width="21" customWidth="1" min="6" max="6"/>
    <col width="12" customWidth="1" min="7" max="7"/>
    <col width="8" customWidth="1" min="8" max="8"/>
    <col width="24" customWidth="1" min="9" max="9"/>
    <col width="22" customWidth="1" min="10" max="10"/>
    <col width="28" customWidth="1" min="11" max="11"/>
    <col width="16" customWidth="1" min="12" max="12"/>
    <col width="21" customWidth="1" min="13" max="13"/>
    <col width="18" customWidth="1" min="14" max="14"/>
    <col width="12" customWidth="1" min="15" max="15"/>
    <col width="10" customWidth="1" min="16" max="16"/>
    <col width="20" customWidth="1" min="17" max="17"/>
    <col width="20" customWidth="1" min="18" max="18"/>
    <col width="27" customWidth="1" min="19" max="19"/>
    <col width="10" customWidth="1" min="20" max="20"/>
    <col width="18" customWidth="1" min="21" max="21"/>
    <col width="28" customWidth="1" min="22" max="22"/>
    <col width="21" customWidth="1" min="23" max="23"/>
    <col width="13" customWidth="1" min="24" max="24"/>
    <col width="23" customWidth="1" min="25" max="25"/>
    <col width="23" customWidth="1" min="26" max="26"/>
    <col width="13" customWidth="1" min="27" max="27"/>
    <col width="14" customWidth="1" min="28" max="28"/>
    <col width="15" customWidth="1" min="29" max="29"/>
    <col width="17" customWidth="1" min="30" max="30"/>
    <col width="15" customWidth="1" min="31" max="31"/>
    <col width="17" customWidth="1" min="32" max="32"/>
    <col width="15" customWidth="1" min="33" max="33"/>
    <col width="28" customWidth="1" min="34" max="34"/>
    <col width="13" customWidth="1" min="35" max="35"/>
    <col width="17" customWidth="1" min="36" max="36"/>
    <col width="25" customWidth="1" min="37" max="37"/>
    <col width="25" customWidth="1" min="38" max="38"/>
    <col width="14" customWidth="1" min="39" max="39"/>
    <col width="28" customWidth="1" min="40" max="40"/>
    <col width="27" customWidth="1" min="41" max="41"/>
    <col width="28" customWidth="1" min="42" max="42"/>
    <col width="28" customWidth="1" min="43" max="43"/>
    <col width="28" customWidth="1" min="44" max="44"/>
    <col width="18" customWidth="1" min="45" max="45"/>
    <col width="25" customWidth="1" min="46" max="46"/>
    <col width="18" customWidth="1" min="47" max="47"/>
    <col width="15" customWidth="1" min="48" max="48"/>
    <col width="16" customWidth="1" min="49" max="49"/>
    <col width="13" customWidth="1" min="50" max="50"/>
    <col width="18" customWidth="1" min="51" max="51"/>
    <col width="25" customWidth="1" min="52" max="52"/>
    <col width="28" customWidth="1" min="53" max="53"/>
    <col width="28" customWidth="1" min="54" max="54"/>
    <col width="25" customWidth="1" min="55" max="55"/>
    <col width="13" customWidth="1" min="56" max="56"/>
    <col width="18" customWidth="1" min="57" max="57"/>
    <col width="28" customWidth="1" min="58" max="58"/>
    <col width="18" customWidth="1" min="59" max="59"/>
    <col width="14" customWidth="1" min="60" max="60"/>
    <col width="14" customWidth="1" min="61" max="61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reportedCurrency</t>
        </is>
      </c>
      <c r="D1" s="1" t="inlineStr">
        <is>
          <t>cik</t>
        </is>
      </c>
      <c r="E1" s="1" t="inlineStr">
        <is>
          <t>filingDate</t>
        </is>
      </c>
      <c r="F1" s="1" t="inlineStr">
        <is>
          <t>acceptedDate</t>
        </is>
      </c>
      <c r="G1" s="1" t="inlineStr">
        <is>
          <t>fiscalYear</t>
        </is>
      </c>
      <c r="H1" s="1" t="inlineStr">
        <is>
          <t>period</t>
        </is>
      </c>
      <c r="I1" s="1" t="inlineStr">
        <is>
          <t>cashAndCashEquivalents</t>
        </is>
      </c>
      <c r="J1" s="1" t="inlineStr">
        <is>
          <t>shortTermInvestments</t>
        </is>
      </c>
      <c r="K1" s="1" t="inlineStr">
        <is>
          <t>cashAndShortTermInvestments</t>
        </is>
      </c>
      <c r="L1" s="1" t="inlineStr">
        <is>
          <t>netReceivables</t>
        </is>
      </c>
      <c r="M1" s="1" t="inlineStr">
        <is>
          <t>accountsReceivables</t>
        </is>
      </c>
      <c r="N1" s="1" t="inlineStr">
        <is>
          <t>otherReceivables</t>
        </is>
      </c>
      <c r="O1" s="1" t="inlineStr">
        <is>
          <t>inventory</t>
        </is>
      </c>
      <c r="P1" s="1" t="inlineStr">
        <is>
          <t>prepaids</t>
        </is>
      </c>
      <c r="Q1" s="1" t="inlineStr">
        <is>
          <t>otherCurrentAssets</t>
        </is>
      </c>
      <c r="R1" s="1" t="inlineStr">
        <is>
          <t>totalCurrentAssets</t>
        </is>
      </c>
      <c r="S1" s="1" t="inlineStr">
        <is>
          <t>propertyPlantEquipmentNet</t>
        </is>
      </c>
      <c r="T1" s="1" t="inlineStr">
        <is>
          <t>goodwill</t>
        </is>
      </c>
      <c r="U1" s="1" t="inlineStr">
        <is>
          <t>intangibleAssets</t>
        </is>
      </c>
      <c r="V1" s="1" t="inlineStr">
        <is>
          <t>goodwillAndIntangibleAssets</t>
        </is>
      </c>
      <c r="W1" s="1" t="inlineStr">
        <is>
          <t>longTermInvestments</t>
        </is>
      </c>
      <c r="X1" s="1" t="inlineStr">
        <is>
          <t>taxAssets</t>
        </is>
      </c>
      <c r="Y1" s="1" t="inlineStr">
        <is>
          <t>otherNonCurrentAssets</t>
        </is>
      </c>
      <c r="Z1" s="1" t="inlineStr">
        <is>
          <t>totalNonCurrentAssets</t>
        </is>
      </c>
      <c r="AA1" s="1" t="inlineStr">
        <is>
          <t>otherAssets</t>
        </is>
      </c>
      <c r="AB1" s="1" t="inlineStr">
        <is>
          <t>totalAssets</t>
        </is>
      </c>
      <c r="AC1" s="1" t="inlineStr">
        <is>
          <t>totalPayables</t>
        </is>
      </c>
      <c r="AD1" s="1" t="inlineStr">
        <is>
          <t>accountPayables</t>
        </is>
      </c>
      <c r="AE1" s="1" t="inlineStr">
        <is>
          <t>otherPayables</t>
        </is>
      </c>
      <c r="AF1" s="1" t="inlineStr">
        <is>
          <t>accruedExpenses</t>
        </is>
      </c>
      <c r="AG1" s="1" t="inlineStr">
        <is>
          <t>shortTermDebt</t>
        </is>
      </c>
      <c r="AH1" s="1" t="inlineStr">
        <is>
          <t>capitalLeaseObligationsCurrent</t>
        </is>
      </c>
      <c r="AI1" s="1" t="inlineStr">
        <is>
          <t>taxPayables</t>
        </is>
      </c>
      <c r="AJ1" s="1" t="inlineStr">
        <is>
          <t>deferredRevenue</t>
        </is>
      </c>
      <c r="AK1" s="1" t="inlineStr">
        <is>
          <t>otherCurrentLiabilities</t>
        </is>
      </c>
      <c r="AL1" s="1" t="inlineStr">
        <is>
          <t>totalCurrentLiabilities</t>
        </is>
      </c>
      <c r="AM1" s="1" t="inlineStr">
        <is>
          <t>longTermDebt</t>
        </is>
      </c>
      <c r="AN1" s="1" t="inlineStr">
        <is>
          <t>capitalLeaseObligationsNonCurrent</t>
        </is>
      </c>
      <c r="AO1" s="1" t="inlineStr">
        <is>
          <t>deferredRevenueNonCurrent</t>
        </is>
      </c>
      <c r="AP1" s="1" t="inlineStr">
        <is>
          <t>deferredTaxLiabilitiesNonCurrent</t>
        </is>
      </c>
      <c r="AQ1" s="1" t="inlineStr">
        <is>
          <t>otherNonCurrentLiabilities</t>
        </is>
      </c>
      <c r="AR1" s="1" t="inlineStr">
        <is>
          <t>totalNonCurrentLiabilities</t>
        </is>
      </c>
      <c r="AS1" s="1" t="inlineStr">
        <is>
          <t>otherLiabilities</t>
        </is>
      </c>
      <c r="AT1" s="1" t="inlineStr">
        <is>
          <t>capitalLeaseObligations</t>
        </is>
      </c>
      <c r="AU1" s="1" t="inlineStr">
        <is>
          <t>totalLiabilities</t>
        </is>
      </c>
      <c r="AV1" s="1" t="inlineStr">
        <is>
          <t>treasuryStock</t>
        </is>
      </c>
      <c r="AW1" s="1" t="inlineStr">
        <is>
          <t>preferredStock</t>
        </is>
      </c>
      <c r="AX1" s="1" t="inlineStr">
        <is>
          <t>commonStock</t>
        </is>
      </c>
      <c r="AY1" s="1" t="inlineStr">
        <is>
          <t>retainedEarnings</t>
        </is>
      </c>
      <c r="AZ1" s="1" t="inlineStr">
        <is>
          <t>additionalPaidInCapital</t>
        </is>
      </c>
      <c r="BA1" s="1" t="inlineStr">
        <is>
          <t>accumulatedOtherComprehensiveIncomeLoss</t>
        </is>
      </c>
      <c r="BB1" s="1" t="inlineStr">
        <is>
          <t>otherTotalStockholdersEquity</t>
        </is>
      </c>
      <c r="BC1" s="1" t="inlineStr">
        <is>
          <t>totalStockholdersEquity</t>
        </is>
      </c>
      <c r="BD1" s="1" t="inlineStr">
        <is>
          <t>totalEquity</t>
        </is>
      </c>
      <c r="BE1" s="1" t="inlineStr">
        <is>
          <t>minorityInterest</t>
        </is>
      </c>
      <c r="BF1" s="1" t="inlineStr">
        <is>
          <t>totalLiabilitiesAndTotalEquity</t>
        </is>
      </c>
      <c r="BG1" s="1" t="inlineStr">
        <is>
          <t>totalInvestments</t>
        </is>
      </c>
      <c r="BH1" s="1" t="inlineStr">
        <is>
          <t>totalDebt</t>
        </is>
      </c>
      <c r="BI1" s="1" t="inlineStr">
        <is>
          <t>netDebt</t>
        </is>
      </c>
    </row>
    <row r="2">
      <c r="A2" s="2" t="inlineStr">
        <is>
          <t>2025-09-27</t>
        </is>
      </c>
      <c r="B2" s="2" t="inlineStr">
        <is>
          <t>AAPL</t>
        </is>
      </c>
      <c r="C2" s="2" t="inlineStr">
        <is>
          <t>USD</t>
        </is>
      </c>
      <c r="D2" s="2" t="inlineStr">
        <is>
          <t>0000320193</t>
        </is>
      </c>
      <c r="E2" s="2" t="inlineStr">
        <is>
          <t>2025-10-31</t>
        </is>
      </c>
      <c r="F2" s="2" t="inlineStr">
        <is>
          <t>2025-10-31 06:01:26</t>
        </is>
      </c>
      <c r="G2" s="2" t="inlineStr">
        <is>
          <t>2025</t>
        </is>
      </c>
      <c r="H2" s="2" t="inlineStr">
        <is>
          <t>FY</t>
        </is>
      </c>
      <c r="I2" s="2" t="n">
        <v>35934000000</v>
      </c>
      <c r="J2" s="2" t="n">
        <v>18763000000</v>
      </c>
      <c r="K2" s="2" t="n">
        <v>54697000000</v>
      </c>
      <c r="L2" s="2" t="n">
        <v>72957000000</v>
      </c>
      <c r="M2" s="2" t="n">
        <v>39777000000</v>
      </c>
      <c r="N2" s="2" t="n">
        <v>33180000000</v>
      </c>
      <c r="O2" s="2" t="n">
        <v>5718000000</v>
      </c>
      <c r="P2" s="2" t="n">
        <v>0</v>
      </c>
      <c r="Q2" s="2" t="n">
        <v>14585000000</v>
      </c>
      <c r="R2" s="2" t="n">
        <v>147957000000</v>
      </c>
      <c r="S2" s="2" t="n">
        <v>49834000000</v>
      </c>
      <c r="T2" s="2" t="n">
        <v>0</v>
      </c>
      <c r="U2" s="2" t="n">
        <v>0</v>
      </c>
      <c r="V2" s="2" t="n">
        <v>0</v>
      </c>
      <c r="W2" s="2" t="n">
        <v>77723000000</v>
      </c>
      <c r="X2" s="2" t="n">
        <v>20777000000</v>
      </c>
      <c r="Y2" s="2" t="n">
        <v>62950000000</v>
      </c>
      <c r="Z2" s="2" t="n">
        <v>211284000000</v>
      </c>
      <c r="AA2" s="2" t="n">
        <v>0</v>
      </c>
      <c r="AB2" s="2" t="n">
        <v>359241000000</v>
      </c>
      <c r="AC2" s="2" t="n">
        <v>82876000000</v>
      </c>
      <c r="AD2" s="2" t="n">
        <v>69860000000</v>
      </c>
      <c r="AE2" s="2" t="n">
        <v>13016000000</v>
      </c>
      <c r="AF2" s="2" t="n">
        <v>8919000000</v>
      </c>
      <c r="AG2" s="2" t="n">
        <v>20329000000</v>
      </c>
      <c r="AH2" s="2" t="n">
        <v>2117000000</v>
      </c>
      <c r="AI2" s="2" t="n">
        <v>0</v>
      </c>
      <c r="AJ2" s="2" t="n">
        <v>9055000000</v>
      </c>
      <c r="AK2" s="2" t="n">
        <v>42335000000</v>
      </c>
      <c r="AL2" s="2" t="n">
        <v>165631000000</v>
      </c>
      <c r="AM2" s="2" t="n">
        <v>78328000000</v>
      </c>
      <c r="AN2" s="2" t="n">
        <v>11603000000</v>
      </c>
      <c r="AO2" s="2" t="n">
        <v>0</v>
      </c>
      <c r="AP2" s="2" t="n">
        <v>0</v>
      </c>
      <c r="AQ2" s="2" t="n">
        <v>29946000000</v>
      </c>
      <c r="AR2" s="2" t="n">
        <v>119877000000</v>
      </c>
      <c r="AS2" s="2" t="n">
        <v>0</v>
      </c>
      <c r="AT2" s="2" t="n">
        <v>13720000000</v>
      </c>
      <c r="AU2" s="2" t="n">
        <v>285508000000</v>
      </c>
      <c r="AV2" s="2" t="n">
        <v>0</v>
      </c>
      <c r="AW2" s="2" t="n">
        <v>0</v>
      </c>
      <c r="AX2" s="2" t="n">
        <v>93568000000</v>
      </c>
      <c r="AY2" s="2" t="n">
        <v>-14264000000</v>
      </c>
      <c r="AZ2" s="2" t="n">
        <v>0</v>
      </c>
      <c r="BA2" s="2" t="n">
        <v>-5571000000</v>
      </c>
      <c r="BB2" s="2" t="n">
        <v>0</v>
      </c>
      <c r="BC2" s="2" t="n">
        <v>73733000000</v>
      </c>
      <c r="BD2" s="2" t="n">
        <v>73733000000</v>
      </c>
      <c r="BE2" s="2" t="n">
        <v>0</v>
      </c>
      <c r="BF2" s="2" t="n">
        <v>359241000000</v>
      </c>
      <c r="BG2" s="2" t="n">
        <v>96486000000</v>
      </c>
      <c r="BH2" s="2" t="n">
        <v>112377000000</v>
      </c>
      <c r="BI2" s="2" t="n">
        <v>76443000000</v>
      </c>
    </row>
    <row r="3">
      <c r="A3" s="2" t="inlineStr">
        <is>
          <t>2024-09-28</t>
        </is>
      </c>
      <c r="B3" s="2" t="inlineStr">
        <is>
          <t>AAPL</t>
        </is>
      </c>
      <c r="C3" s="2" t="inlineStr">
        <is>
          <t>USD</t>
        </is>
      </c>
      <c r="D3" s="2" t="inlineStr">
        <is>
          <t>0000320193</t>
        </is>
      </c>
      <c r="E3" s="2" t="inlineStr">
        <is>
          <t>2024-11-01</t>
        </is>
      </c>
      <c r="F3" s="2" t="inlineStr">
        <is>
          <t>2024-11-01 06:01:36</t>
        </is>
      </c>
      <c r="G3" s="2" t="inlineStr">
        <is>
          <t>2024</t>
        </is>
      </c>
      <c r="H3" s="2" t="inlineStr">
        <is>
          <t>FY</t>
        </is>
      </c>
      <c r="I3" s="2" t="n">
        <v>29943000000</v>
      </c>
      <c r="J3" s="2" t="n">
        <v>35228000000</v>
      </c>
      <c r="K3" s="2" t="n">
        <v>65171000000</v>
      </c>
      <c r="L3" s="2" t="n">
        <v>66243000000</v>
      </c>
      <c r="M3" s="2" t="n">
        <v>33410000000</v>
      </c>
      <c r="N3" s="2" t="n">
        <v>32833000000</v>
      </c>
      <c r="O3" s="2" t="n">
        <v>7286000000</v>
      </c>
      <c r="P3" s="2" t="n">
        <v>0</v>
      </c>
      <c r="Q3" s="2" t="n">
        <v>14287000000</v>
      </c>
      <c r="R3" s="2" t="n">
        <v>152987000000</v>
      </c>
      <c r="S3" s="2" t="n">
        <v>45680000000</v>
      </c>
      <c r="T3" s="2" t="n">
        <v>0</v>
      </c>
      <c r="U3" s="2" t="n">
        <v>0</v>
      </c>
      <c r="V3" s="2" t="n">
        <v>0</v>
      </c>
      <c r="W3" s="2" t="n">
        <v>91479000000</v>
      </c>
      <c r="X3" s="2" t="n">
        <v>19499000000</v>
      </c>
      <c r="Y3" s="2" t="n">
        <v>55335000000</v>
      </c>
      <c r="Z3" s="2" t="n">
        <v>211993000000</v>
      </c>
      <c r="AA3" s="2" t="n">
        <v>0</v>
      </c>
      <c r="AB3" s="2" t="n">
        <v>364980000000</v>
      </c>
      <c r="AC3" s="2" t="n">
        <v>95561000000</v>
      </c>
      <c r="AD3" s="2" t="n">
        <v>68960000000</v>
      </c>
      <c r="AE3" s="2" t="n">
        <v>26601000000</v>
      </c>
      <c r="AF3" s="2" t="n">
        <v>0</v>
      </c>
      <c r="AG3" s="2" t="n">
        <v>20879000000</v>
      </c>
      <c r="AH3" s="2" t="n">
        <v>1632000000</v>
      </c>
      <c r="AI3" s="2" t="n">
        <v>26601000000</v>
      </c>
      <c r="AJ3" s="2" t="n">
        <v>8249000000</v>
      </c>
      <c r="AK3" s="2" t="n">
        <v>50071000000</v>
      </c>
      <c r="AL3" s="2" t="n">
        <v>176392000000</v>
      </c>
      <c r="AM3" s="2" t="n">
        <v>85750000000</v>
      </c>
      <c r="AN3" s="2" t="n">
        <v>10798000000</v>
      </c>
      <c r="AO3" s="2" t="n">
        <v>0</v>
      </c>
      <c r="AP3" s="2" t="n">
        <v>0</v>
      </c>
      <c r="AQ3" s="2" t="n">
        <v>35090000000</v>
      </c>
      <c r="AR3" s="2" t="n">
        <v>131638000000</v>
      </c>
      <c r="AS3" s="2" t="n">
        <v>0</v>
      </c>
      <c r="AT3" s="2" t="n">
        <v>12430000000</v>
      </c>
      <c r="AU3" s="2" t="n">
        <v>308030000000</v>
      </c>
      <c r="AV3" s="2" t="n">
        <v>0</v>
      </c>
      <c r="AW3" s="2" t="n">
        <v>0</v>
      </c>
      <c r="AX3" s="2" t="n">
        <v>83276000000</v>
      </c>
      <c r="AY3" s="2" t="n">
        <v>-19154000000</v>
      </c>
      <c r="AZ3" s="2" t="n">
        <v>0</v>
      </c>
      <c r="BA3" s="2" t="n">
        <v>-7172000000</v>
      </c>
      <c r="BB3" s="2" t="n">
        <v>0</v>
      </c>
      <c r="BC3" s="2" t="n">
        <v>56950000000</v>
      </c>
      <c r="BD3" s="2" t="n">
        <v>56950000000</v>
      </c>
      <c r="BE3" s="2" t="n">
        <v>0</v>
      </c>
      <c r="BF3" s="2" t="n">
        <v>364980000000</v>
      </c>
      <c r="BG3" s="2" t="n">
        <v>126707000000</v>
      </c>
      <c r="BH3" s="2" t="n">
        <v>119059000000</v>
      </c>
      <c r="BI3" s="2" t="n">
        <v>89116000000</v>
      </c>
    </row>
    <row r="4">
      <c r="A4" s="2" t="inlineStr">
        <is>
          <t>2023-09-30</t>
        </is>
      </c>
      <c r="B4" s="2" t="inlineStr">
        <is>
          <t>AAPL</t>
        </is>
      </c>
      <c r="C4" s="2" t="inlineStr">
        <is>
          <t>USD</t>
        </is>
      </c>
      <c r="D4" s="2" t="inlineStr">
        <is>
          <t>0000320193</t>
        </is>
      </c>
      <c r="E4" s="2" t="inlineStr">
        <is>
          <t>2023-11-03</t>
        </is>
      </c>
      <c r="F4" s="2" t="inlineStr">
        <is>
          <t>2023-11-02 18:08:27</t>
        </is>
      </c>
      <c r="G4" s="2" t="inlineStr">
        <is>
          <t>2023</t>
        </is>
      </c>
      <c r="H4" s="2" t="inlineStr">
        <is>
          <t>FY</t>
        </is>
      </c>
      <c r="I4" s="2" t="n">
        <v>29965000000</v>
      </c>
      <c r="J4" s="2" t="n">
        <v>31590000000</v>
      </c>
      <c r="K4" s="2" t="n">
        <v>61555000000</v>
      </c>
      <c r="L4" s="2" t="n">
        <v>60985000000</v>
      </c>
      <c r="M4" s="2" t="n">
        <v>29508000000</v>
      </c>
      <c r="N4" s="2" t="n">
        <v>31477000000</v>
      </c>
      <c r="O4" s="2" t="n">
        <v>6331000000</v>
      </c>
      <c r="P4" s="2" t="n">
        <v>0</v>
      </c>
      <c r="Q4" s="2" t="n">
        <v>14695000000</v>
      </c>
      <c r="R4" s="2" t="n">
        <v>143566000000</v>
      </c>
      <c r="S4" s="2" t="n">
        <v>54376000000</v>
      </c>
      <c r="T4" s="2" t="n">
        <v>0</v>
      </c>
      <c r="U4" s="2" t="n">
        <v>0</v>
      </c>
      <c r="V4" s="2" t="n">
        <v>0</v>
      </c>
      <c r="W4" s="2" t="n">
        <v>100544000000</v>
      </c>
      <c r="X4" s="2" t="n">
        <v>17852000000</v>
      </c>
      <c r="Y4" s="2" t="n">
        <v>36245000000</v>
      </c>
      <c r="Z4" s="2" t="n">
        <v>209017000000</v>
      </c>
      <c r="AA4" s="2" t="n">
        <v>0</v>
      </c>
      <c r="AB4" s="2" t="n">
        <v>352583000000</v>
      </c>
      <c r="AC4" s="2" t="n">
        <v>71430000000</v>
      </c>
      <c r="AD4" s="2" t="n">
        <v>62611000000</v>
      </c>
      <c r="AE4" s="2" t="n">
        <v>8819000000</v>
      </c>
      <c r="AF4" s="2" t="n">
        <v>0</v>
      </c>
      <c r="AG4" s="2" t="n">
        <v>15807000000</v>
      </c>
      <c r="AH4" s="2" t="n">
        <v>1575000000</v>
      </c>
      <c r="AI4" s="2" t="n">
        <v>8819000000</v>
      </c>
      <c r="AJ4" s="2" t="n">
        <v>8061000000</v>
      </c>
      <c r="AK4" s="2" t="n">
        <v>48435000000</v>
      </c>
      <c r="AL4" s="2" t="n">
        <v>145308000000</v>
      </c>
      <c r="AM4" s="2" t="n">
        <v>95281000000</v>
      </c>
      <c r="AN4" s="2" t="n">
        <v>11267000000</v>
      </c>
      <c r="AO4" s="2" t="n">
        <v>0</v>
      </c>
      <c r="AP4" s="2" t="n">
        <v>0</v>
      </c>
      <c r="AQ4" s="2" t="n">
        <v>38581000000</v>
      </c>
      <c r="AR4" s="2" t="n">
        <v>145129000000</v>
      </c>
      <c r="AS4" s="2" t="n">
        <v>0</v>
      </c>
      <c r="AT4" s="2" t="n">
        <v>12842000000</v>
      </c>
      <c r="AU4" s="2" t="n">
        <v>290437000000</v>
      </c>
      <c r="AV4" s="2" t="n">
        <v>0</v>
      </c>
      <c r="AW4" s="2" t="n">
        <v>0</v>
      </c>
      <c r="AX4" s="2" t="n">
        <v>73812000000</v>
      </c>
      <c r="AY4" s="2" t="n">
        <v>-214000000</v>
      </c>
      <c r="AZ4" s="2" t="n">
        <v>0</v>
      </c>
      <c r="BA4" s="2" t="n">
        <v>-11452000000</v>
      </c>
      <c r="BB4" s="2" t="n">
        <v>0</v>
      </c>
      <c r="BC4" s="2" t="n">
        <v>62146000000</v>
      </c>
      <c r="BD4" s="2" t="n">
        <v>62146000000</v>
      </c>
      <c r="BE4" s="2" t="n">
        <v>0</v>
      </c>
      <c r="BF4" s="2" t="n">
        <v>352583000000</v>
      </c>
      <c r="BG4" s="2" t="n">
        <v>132134000000</v>
      </c>
      <c r="BH4" s="2" t="n">
        <v>123930000000</v>
      </c>
      <c r="BI4" s="2" t="n">
        <v>93965000000</v>
      </c>
    </row>
    <row r="5">
      <c r="A5" s="2" t="inlineStr">
        <is>
          <t>2022-09-24</t>
        </is>
      </c>
      <c r="B5" s="2" t="inlineStr">
        <is>
          <t>AAPL</t>
        </is>
      </c>
      <c r="C5" s="2" t="inlineStr">
        <is>
          <t>USD</t>
        </is>
      </c>
      <c r="D5" s="2" t="inlineStr">
        <is>
          <t>0000320193</t>
        </is>
      </c>
      <c r="E5" s="2" t="inlineStr">
        <is>
          <t>2022-10-28</t>
        </is>
      </c>
      <c r="F5" s="2" t="inlineStr">
        <is>
          <t>2022-10-27 18:01:14</t>
        </is>
      </c>
      <c r="G5" s="2" t="inlineStr">
        <is>
          <t>2022</t>
        </is>
      </c>
      <c r="H5" s="2" t="inlineStr">
        <is>
          <t>FY</t>
        </is>
      </c>
      <c r="I5" s="2" t="n">
        <v>23646000000</v>
      </c>
      <c r="J5" s="2" t="n">
        <v>24658000000</v>
      </c>
      <c r="K5" s="2" t="n">
        <v>48304000000</v>
      </c>
      <c r="L5" s="2" t="n">
        <v>60932000000</v>
      </c>
      <c r="M5" s="2" t="n">
        <v>28184000000</v>
      </c>
      <c r="N5" s="2" t="n">
        <v>32748000000</v>
      </c>
      <c r="O5" s="2" t="n">
        <v>4946000000</v>
      </c>
      <c r="P5" s="2" t="n">
        <v>0</v>
      </c>
      <c r="Q5" s="2" t="n">
        <v>21223000000</v>
      </c>
      <c r="R5" s="2" t="n">
        <v>135405000000</v>
      </c>
      <c r="S5" s="2" t="n">
        <v>52534000000</v>
      </c>
      <c r="T5" s="2" t="n">
        <v>0</v>
      </c>
      <c r="U5" s="2" t="n">
        <v>0</v>
      </c>
      <c r="V5" s="2" t="n">
        <v>0</v>
      </c>
      <c r="W5" s="2" t="n">
        <v>120805000000</v>
      </c>
      <c r="X5" s="2" t="n">
        <v>15375000000</v>
      </c>
      <c r="Y5" s="2" t="n">
        <v>28636000000</v>
      </c>
      <c r="Z5" s="2" t="n">
        <v>217350000000</v>
      </c>
      <c r="AA5" s="2" t="n">
        <v>0</v>
      </c>
      <c r="AB5" s="2" t="n">
        <v>352755000000</v>
      </c>
      <c r="AC5" s="2" t="n">
        <v>70667000000</v>
      </c>
      <c r="AD5" s="2" t="n">
        <v>64115000000</v>
      </c>
      <c r="AE5" s="2" t="n">
        <v>6552000000</v>
      </c>
      <c r="AF5" s="2" t="n">
        <v>0</v>
      </c>
      <c r="AG5" s="2" t="n">
        <v>21110000000</v>
      </c>
      <c r="AH5" s="2" t="n">
        <v>1663000000</v>
      </c>
      <c r="AI5" s="2" t="n">
        <v>6552000000</v>
      </c>
      <c r="AJ5" s="2" t="n">
        <v>7912000000</v>
      </c>
      <c r="AK5" s="2" t="n">
        <v>52630000000</v>
      </c>
      <c r="AL5" s="2" t="n">
        <v>153982000000</v>
      </c>
      <c r="AM5" s="2" t="n">
        <v>98959000000</v>
      </c>
      <c r="AN5" s="2" t="n">
        <v>10748000000</v>
      </c>
      <c r="AO5" s="2" t="n">
        <v>0</v>
      </c>
      <c r="AP5" s="2" t="n">
        <v>0</v>
      </c>
      <c r="AQ5" s="2" t="n">
        <v>38394000000</v>
      </c>
      <c r="AR5" s="2" t="n">
        <v>148101000000</v>
      </c>
      <c r="AS5" s="2" t="n">
        <v>0</v>
      </c>
      <c r="AT5" s="2" t="n">
        <v>12411000000</v>
      </c>
      <c r="AU5" s="2" t="n">
        <v>302083000000</v>
      </c>
      <c r="AV5" s="2" t="n">
        <v>0</v>
      </c>
      <c r="AW5" s="2" t="n">
        <v>0</v>
      </c>
      <c r="AX5" s="2" t="n">
        <v>64849000000</v>
      </c>
      <c r="AY5" s="2" t="n">
        <v>-3068000000</v>
      </c>
      <c r="AZ5" s="2" t="n">
        <v>0</v>
      </c>
      <c r="BA5" s="2" t="n">
        <v>-11109000000</v>
      </c>
      <c r="BB5" s="2" t="n">
        <v>0</v>
      </c>
      <c r="BC5" s="2" t="n">
        <v>50672000000</v>
      </c>
      <c r="BD5" s="2" t="n">
        <v>50672000000</v>
      </c>
      <c r="BE5" s="2" t="n">
        <v>0</v>
      </c>
      <c r="BF5" s="2" t="n">
        <v>352755000000</v>
      </c>
      <c r="BG5" s="2" t="n">
        <v>145463000000</v>
      </c>
      <c r="BH5" s="2" t="n">
        <v>132480000000</v>
      </c>
      <c r="BI5" s="2" t="n">
        <v>108834000000</v>
      </c>
    </row>
    <row r="6">
      <c r="A6" s="2" t="inlineStr">
        <is>
          <t>2021-09-25</t>
        </is>
      </c>
      <c r="B6" s="2" t="inlineStr">
        <is>
          <t>AAPL</t>
        </is>
      </c>
      <c r="C6" s="2" t="inlineStr">
        <is>
          <t>USD</t>
        </is>
      </c>
      <c r="D6" s="2" t="inlineStr">
        <is>
          <t>0000320193</t>
        </is>
      </c>
      <c r="E6" s="2" t="inlineStr">
        <is>
          <t>2021-10-29</t>
        </is>
      </c>
      <c r="F6" s="2" t="inlineStr">
        <is>
          <t>2021-10-28 18:04:28</t>
        </is>
      </c>
      <c r="G6" s="2" t="inlineStr">
        <is>
          <t>2021</t>
        </is>
      </c>
      <c r="H6" s="2" t="inlineStr">
        <is>
          <t>FY</t>
        </is>
      </c>
      <c r="I6" s="2" t="n">
        <v>34940000000</v>
      </c>
      <c r="J6" s="2" t="n">
        <v>27699000000</v>
      </c>
      <c r="K6" s="2" t="n">
        <v>62639000000</v>
      </c>
      <c r="L6" s="2" t="n">
        <v>51506000000</v>
      </c>
      <c r="M6" s="2" t="n">
        <v>26278000000</v>
      </c>
      <c r="N6" s="2" t="n">
        <v>25228000000</v>
      </c>
      <c r="O6" s="2" t="n">
        <v>6580000000</v>
      </c>
      <c r="P6" s="2" t="n">
        <v>0</v>
      </c>
      <c r="Q6" s="2" t="n">
        <v>14111000000</v>
      </c>
      <c r="R6" s="2" t="n">
        <v>134836000000</v>
      </c>
      <c r="S6" s="2" t="n">
        <v>49527000000</v>
      </c>
      <c r="T6" s="2" t="n">
        <v>0</v>
      </c>
      <c r="U6" s="2" t="n">
        <v>0</v>
      </c>
      <c r="V6" s="2" t="n">
        <v>0</v>
      </c>
      <c r="W6" s="2" t="n">
        <v>127877000000</v>
      </c>
      <c r="X6" s="2" t="n">
        <v>0</v>
      </c>
      <c r="Y6" s="2" t="n">
        <v>38762000000</v>
      </c>
      <c r="Z6" s="2" t="n">
        <v>216166000000</v>
      </c>
      <c r="AA6" s="2" t="n">
        <v>0</v>
      </c>
      <c r="AB6" s="2" t="n">
        <v>351002000000</v>
      </c>
      <c r="AC6" s="2" t="n">
        <v>54763000000</v>
      </c>
      <c r="AD6" s="2" t="n">
        <v>54763000000</v>
      </c>
      <c r="AE6" s="2" t="n">
        <v>0</v>
      </c>
      <c r="AF6" s="2" t="n">
        <v>0</v>
      </c>
      <c r="AG6" s="2" t="n">
        <v>15613000000</v>
      </c>
      <c r="AH6" s="2" t="n">
        <v>1528000000</v>
      </c>
      <c r="AI6" s="2" t="n">
        <v>0</v>
      </c>
      <c r="AJ6" s="2" t="n">
        <v>7612000000</v>
      </c>
      <c r="AK6" s="2" t="n">
        <v>45965000000</v>
      </c>
      <c r="AL6" s="2" t="n">
        <v>125481000000</v>
      </c>
      <c r="AM6" s="2" t="n">
        <v>109106000000</v>
      </c>
      <c r="AN6" s="2" t="n">
        <v>10275000000</v>
      </c>
      <c r="AO6" s="2" t="n">
        <v>0</v>
      </c>
      <c r="AP6" s="2" t="n">
        <v>0</v>
      </c>
      <c r="AQ6" s="2" t="n">
        <v>43050000000</v>
      </c>
      <c r="AR6" s="2" t="n">
        <v>162431000000</v>
      </c>
      <c r="AS6" s="2" t="n">
        <v>0</v>
      </c>
      <c r="AT6" s="2" t="n">
        <v>11803000000</v>
      </c>
      <c r="AU6" s="2" t="n">
        <v>287912000000</v>
      </c>
      <c r="AV6" s="2" t="n">
        <v>0</v>
      </c>
      <c r="AW6" s="2" t="n">
        <v>0</v>
      </c>
      <c r="AX6" s="2" t="n">
        <v>57365000000</v>
      </c>
      <c r="AY6" s="2" t="n">
        <v>5562000000</v>
      </c>
      <c r="AZ6" s="2" t="n">
        <v>0</v>
      </c>
      <c r="BA6" s="2" t="n">
        <v>163000000</v>
      </c>
      <c r="BB6" s="2" t="n">
        <v>0</v>
      </c>
      <c r="BC6" s="2" t="n">
        <v>63090000000</v>
      </c>
      <c r="BD6" s="2" t="n">
        <v>63090000000</v>
      </c>
      <c r="BE6" s="2" t="n">
        <v>0</v>
      </c>
      <c r="BF6" s="2" t="n">
        <v>351002000000</v>
      </c>
      <c r="BG6" s="2" t="n">
        <v>155576000000</v>
      </c>
      <c r="BH6" s="2" t="n">
        <v>136522000000</v>
      </c>
      <c r="BI6" s="2" t="n">
        <v>101582000000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2" customWidth="1" min="4" max="4"/>
    <col width="12" customWidth="1" min="5" max="5"/>
    <col width="21" customWidth="1" min="6" max="6"/>
    <col width="12" customWidth="1" min="7" max="7"/>
    <col width="8" customWidth="1" min="8" max="8"/>
    <col width="14" customWidth="1" min="9" max="9"/>
    <col width="28" customWidth="1" min="10" max="10"/>
    <col width="19" customWidth="1" min="11" max="11"/>
    <col width="24" customWidth="1" min="12" max="12"/>
    <col width="24" customWidth="1" min="13" max="13"/>
    <col width="21" customWidth="1" min="14" max="14"/>
    <col width="13" customWidth="1" min="15" max="15"/>
    <col width="18" customWidth="1" min="16" max="16"/>
    <col width="21" customWidth="1" min="17" max="17"/>
    <col width="19" customWidth="1" min="18" max="18"/>
    <col width="28" customWidth="1" min="19" max="19"/>
    <col width="28" customWidth="1" min="20" max="20"/>
    <col width="17" customWidth="1" min="21" max="21"/>
    <col width="24" customWidth="1" min="22" max="22"/>
    <col width="28" customWidth="1" min="23" max="23"/>
    <col width="26" customWidth="1" min="24" max="24"/>
    <col width="28" customWidth="1" min="25" max="25"/>
    <col width="17" customWidth="1" min="26" max="26"/>
    <col width="25" customWidth="1" min="27" max="27"/>
    <col width="26" customWidth="1" min="28" max="28"/>
    <col width="18" customWidth="1" min="29" max="29"/>
    <col width="24" customWidth="1" min="30" max="30"/>
    <col width="21" customWidth="1" min="31" max="31"/>
    <col width="24" customWidth="1" min="32" max="32"/>
    <col width="27" customWidth="1" min="33" max="33"/>
    <col width="18" customWidth="1" min="34" max="34"/>
    <col width="21" customWidth="1" min="35" max="35"/>
    <col width="24" customWidth="1" min="36" max="36"/>
    <col width="26" customWidth="1" min="37" max="37"/>
    <col width="28" customWidth="1" min="38" max="38"/>
    <col width="28" customWidth="1" min="39" max="39"/>
    <col width="17" customWidth="1" min="40" max="40"/>
    <col width="19" customWidth="1" min="41" max="41"/>
    <col width="25" customWidth="1" min="42" max="42"/>
    <col width="19" customWidth="1" min="43" max="43"/>
    <col width="20" customWidth="1" min="44" max="44"/>
    <col width="14" customWidth="1" min="45" max="45"/>
    <col width="17" customWidth="1" min="46" max="46"/>
    <col width="14" customWidth="1" min="47" max="4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reportedCurrency</t>
        </is>
      </c>
      <c r="D1" s="1" t="inlineStr">
        <is>
          <t>cik</t>
        </is>
      </c>
      <c r="E1" s="1" t="inlineStr">
        <is>
          <t>filingDate</t>
        </is>
      </c>
      <c r="F1" s="1" t="inlineStr">
        <is>
          <t>acceptedDate</t>
        </is>
      </c>
      <c r="G1" s="1" t="inlineStr">
        <is>
          <t>fiscalYear</t>
        </is>
      </c>
      <c r="H1" s="1" t="inlineStr">
        <is>
          <t>period</t>
        </is>
      </c>
      <c r="I1" s="1" t="inlineStr">
        <is>
          <t>netIncome</t>
        </is>
      </c>
      <c r="J1" s="1" t="inlineStr">
        <is>
          <t>depreciationAndAmortization</t>
        </is>
      </c>
      <c r="K1" s="1" t="inlineStr">
        <is>
          <t>deferredIncomeTax</t>
        </is>
      </c>
      <c r="L1" s="1" t="inlineStr">
        <is>
          <t>stockBasedCompensation</t>
        </is>
      </c>
      <c r="M1" s="1" t="inlineStr">
        <is>
          <t>changeInWorkingCapital</t>
        </is>
      </c>
      <c r="N1" s="1" t="inlineStr">
        <is>
          <t>accountsReceivables</t>
        </is>
      </c>
      <c r="O1" s="1" t="inlineStr">
        <is>
          <t>inventory</t>
        </is>
      </c>
      <c r="P1" s="1" t="inlineStr">
        <is>
          <t>accountsPayables</t>
        </is>
      </c>
      <c r="Q1" s="1" t="inlineStr">
        <is>
          <t>otherWorkingCapital</t>
        </is>
      </c>
      <c r="R1" s="1" t="inlineStr">
        <is>
          <t>otherNonCashItems</t>
        </is>
      </c>
      <c r="S1" s="1" t="inlineStr">
        <is>
          <t>netCashProvidedByOperatingActivities</t>
        </is>
      </c>
      <c r="T1" s="1" t="inlineStr">
        <is>
          <t>investmentsInPropertyPlantAndEquipment</t>
        </is>
      </c>
      <c r="U1" s="1" t="inlineStr">
        <is>
          <t>acquisitionsNet</t>
        </is>
      </c>
      <c r="V1" s="1" t="inlineStr">
        <is>
          <t>purchasesOfInvestments</t>
        </is>
      </c>
      <c r="W1" s="1" t="inlineStr">
        <is>
          <t>salesMaturitiesOfInvestments</t>
        </is>
      </c>
      <c r="X1" s="1" t="inlineStr">
        <is>
          <t>otherInvestingActivities</t>
        </is>
      </c>
      <c r="Y1" s="1" t="inlineStr">
        <is>
          <t>netCashProvidedByInvestingActivities</t>
        </is>
      </c>
      <c r="Z1" s="1" t="inlineStr">
        <is>
          <t>netDebtIssuance</t>
        </is>
      </c>
      <c r="AA1" s="1" t="inlineStr">
        <is>
          <t>longTermNetDebtIssuance</t>
        </is>
      </c>
      <c r="AB1" s="1" t="inlineStr">
        <is>
          <t>shortTermNetDebtIssuance</t>
        </is>
      </c>
      <c r="AC1" s="1" t="inlineStr">
        <is>
          <t>netStockIssuance</t>
        </is>
      </c>
      <c r="AD1" s="1" t="inlineStr">
        <is>
          <t>netCommonStockIssuance</t>
        </is>
      </c>
      <c r="AE1" s="1" t="inlineStr">
        <is>
          <t>commonStockIssuance</t>
        </is>
      </c>
      <c r="AF1" s="1" t="inlineStr">
        <is>
          <t>commonStockRepurchased</t>
        </is>
      </c>
      <c r="AG1" s="1" t="inlineStr">
        <is>
          <t>netPreferredStockIssuance</t>
        </is>
      </c>
      <c r="AH1" s="1" t="inlineStr">
        <is>
          <t>netDividendsPaid</t>
        </is>
      </c>
      <c r="AI1" s="1" t="inlineStr">
        <is>
          <t>commonDividendsPaid</t>
        </is>
      </c>
      <c r="AJ1" s="1" t="inlineStr">
        <is>
          <t>preferredDividendsPaid</t>
        </is>
      </c>
      <c r="AK1" s="1" t="inlineStr">
        <is>
          <t>otherFinancingActivities</t>
        </is>
      </c>
      <c r="AL1" s="1" t="inlineStr">
        <is>
          <t>netCashProvidedByFinancingActivities</t>
        </is>
      </c>
      <c r="AM1" s="1" t="inlineStr">
        <is>
          <t>effectOfForexChangesOnCash</t>
        </is>
      </c>
      <c r="AN1" s="1" t="inlineStr">
        <is>
          <t>netChangeInCash</t>
        </is>
      </c>
      <c r="AO1" s="1" t="inlineStr">
        <is>
          <t>cashAtEndOfPeriod</t>
        </is>
      </c>
      <c r="AP1" s="1" t="inlineStr">
        <is>
          <t>cashAtBeginningOfPeriod</t>
        </is>
      </c>
      <c r="AQ1" s="1" t="inlineStr">
        <is>
          <t>operatingCashFlow</t>
        </is>
      </c>
      <c r="AR1" s="1" t="inlineStr">
        <is>
          <t>capitalExpenditure</t>
        </is>
      </c>
      <c r="AS1" s="1" t="inlineStr">
        <is>
          <t>freeCashFlow</t>
        </is>
      </c>
      <c r="AT1" s="1" t="inlineStr">
        <is>
          <t>incomeTaxesPaid</t>
        </is>
      </c>
      <c r="AU1" s="1" t="inlineStr">
        <is>
          <t>interestPaid</t>
        </is>
      </c>
    </row>
    <row r="2">
      <c r="A2" s="2" t="inlineStr">
        <is>
          <t>2025-09-27</t>
        </is>
      </c>
      <c r="B2" s="2" t="inlineStr">
        <is>
          <t>AAPL</t>
        </is>
      </c>
      <c r="C2" s="2" t="inlineStr">
        <is>
          <t>USD</t>
        </is>
      </c>
      <c r="D2" s="2" t="inlineStr">
        <is>
          <t>0000320193</t>
        </is>
      </c>
      <c r="E2" s="2" t="inlineStr">
        <is>
          <t>2025-10-31</t>
        </is>
      </c>
      <c r="F2" s="2" t="inlineStr">
        <is>
          <t>2025-10-31 06:01:26</t>
        </is>
      </c>
      <c r="G2" s="2" t="inlineStr">
        <is>
          <t>2025</t>
        </is>
      </c>
      <c r="H2" s="2" t="inlineStr">
        <is>
          <t>FY</t>
        </is>
      </c>
      <c r="I2" s="2" t="n">
        <v>112010000000</v>
      </c>
      <c r="J2" s="2" t="n">
        <v>11698000000</v>
      </c>
      <c r="K2" s="2" t="n">
        <v>0</v>
      </c>
      <c r="L2" s="2" t="n">
        <v>12863000000</v>
      </c>
      <c r="M2" s="2" t="n">
        <v>-25000000000</v>
      </c>
      <c r="N2" s="2" t="n">
        <v>-6682000000</v>
      </c>
      <c r="O2" s="2" t="n">
        <v>1400000000</v>
      </c>
      <c r="P2" s="2" t="n">
        <v>902000000</v>
      </c>
      <c r="Q2" s="2" t="n">
        <v>-20620000000</v>
      </c>
      <c r="R2" s="2" t="n">
        <v>-89000000</v>
      </c>
      <c r="S2" s="2" t="n">
        <v>111482000000</v>
      </c>
      <c r="T2" s="2" t="n">
        <v>-12715000000</v>
      </c>
      <c r="U2" s="2" t="n">
        <v>0</v>
      </c>
      <c r="V2" s="2" t="n">
        <v>-24407000000</v>
      </c>
      <c r="W2" s="2" t="n">
        <v>53797000000</v>
      </c>
      <c r="X2" s="2" t="n">
        <v>-1480000000</v>
      </c>
      <c r="Y2" s="2" t="n">
        <v>15195000000</v>
      </c>
      <c r="Z2" s="2" t="n">
        <v>-8483000000</v>
      </c>
      <c r="AA2" s="2" t="n">
        <v>-6451000000</v>
      </c>
      <c r="AB2" s="2" t="n">
        <v>-2032000000</v>
      </c>
      <c r="AC2" s="2" t="n">
        <v>-90711000000</v>
      </c>
      <c r="AD2" s="2" t="n">
        <v>-90711000000</v>
      </c>
      <c r="AE2" s="2" t="n">
        <v>0</v>
      </c>
      <c r="AF2" s="2" t="n">
        <v>-90711000000</v>
      </c>
      <c r="AG2" s="2" t="n">
        <v>0</v>
      </c>
      <c r="AH2" s="2" t="n">
        <v>-15421000000</v>
      </c>
      <c r="AI2" s="2" t="n">
        <v>-15421000000</v>
      </c>
      <c r="AJ2" s="2" t="n">
        <v>0</v>
      </c>
      <c r="AK2" s="2" t="n">
        <v>-6071000000</v>
      </c>
      <c r="AL2" s="2" t="n">
        <v>-120686000000</v>
      </c>
      <c r="AM2" s="2" t="n">
        <v>0</v>
      </c>
      <c r="AN2" s="2" t="n">
        <v>5991000000</v>
      </c>
      <c r="AO2" s="2" t="n">
        <v>35934000000</v>
      </c>
      <c r="AP2" s="2" t="n">
        <v>29943000000</v>
      </c>
      <c r="AQ2" s="2" t="n">
        <v>111482000000</v>
      </c>
      <c r="AR2" s="2" t="n">
        <v>-12715000000</v>
      </c>
      <c r="AS2" s="2" t="n">
        <v>98767000000</v>
      </c>
      <c r="AT2" s="2" t="n">
        <v>43369000000</v>
      </c>
      <c r="AU2" s="2" t="n">
        <v>0</v>
      </c>
    </row>
    <row r="3">
      <c r="A3" s="2" t="inlineStr">
        <is>
          <t>2024-09-28</t>
        </is>
      </c>
      <c r="B3" s="2" t="inlineStr">
        <is>
          <t>AAPL</t>
        </is>
      </c>
      <c r="C3" s="2" t="inlineStr">
        <is>
          <t>USD</t>
        </is>
      </c>
      <c r="D3" s="2" t="inlineStr">
        <is>
          <t>0000320193</t>
        </is>
      </c>
      <c r="E3" s="2" t="inlineStr">
        <is>
          <t>2024-11-01</t>
        </is>
      </c>
      <c r="F3" s="2" t="inlineStr">
        <is>
          <t>2024-11-01 06:01:36</t>
        </is>
      </c>
      <c r="G3" s="2" t="inlineStr">
        <is>
          <t>2024</t>
        </is>
      </c>
      <c r="H3" s="2" t="inlineStr">
        <is>
          <t>FY</t>
        </is>
      </c>
      <c r="I3" s="2" t="n">
        <v>93736000000</v>
      </c>
      <c r="J3" s="2" t="n">
        <v>11445000000</v>
      </c>
      <c r="K3" s="2" t="n">
        <v>0</v>
      </c>
      <c r="L3" s="2" t="n">
        <v>11688000000</v>
      </c>
      <c r="M3" s="2" t="n">
        <v>3651000000</v>
      </c>
      <c r="N3" s="2" t="n">
        <v>-5144000000</v>
      </c>
      <c r="O3" s="2" t="n">
        <v>-1046000000</v>
      </c>
      <c r="P3" s="2" t="n">
        <v>6020000000</v>
      </c>
      <c r="Q3" s="2" t="n">
        <v>3821000000</v>
      </c>
      <c r="R3" s="2" t="n">
        <v>-2266000000</v>
      </c>
      <c r="S3" s="2" t="n">
        <v>118254000000</v>
      </c>
      <c r="T3" s="2" t="n">
        <v>-9447000000</v>
      </c>
      <c r="U3" s="2" t="n">
        <v>0</v>
      </c>
      <c r="V3" s="2" t="n">
        <v>-48656000000</v>
      </c>
      <c r="W3" s="2" t="n">
        <v>62346000000</v>
      </c>
      <c r="X3" s="2" t="n">
        <v>-1308000000</v>
      </c>
      <c r="Y3" s="2" t="n">
        <v>2935000000</v>
      </c>
      <c r="Z3" s="2" t="n">
        <v>-5998000000</v>
      </c>
      <c r="AA3" s="2" t="n">
        <v>-9958000000</v>
      </c>
      <c r="AB3" s="2" t="n">
        <v>3960000000</v>
      </c>
      <c r="AC3" s="2" t="n">
        <v>-94949000000</v>
      </c>
      <c r="AD3" s="2" t="n">
        <v>-94949000000</v>
      </c>
      <c r="AE3" s="2" t="n">
        <v>0</v>
      </c>
      <c r="AF3" s="2" t="n">
        <v>-94949000000</v>
      </c>
      <c r="AG3" s="2" t="n">
        <v>0</v>
      </c>
      <c r="AH3" s="2" t="n">
        <v>-15234000000</v>
      </c>
      <c r="AI3" s="2" t="n">
        <v>-15234000000</v>
      </c>
      <c r="AJ3" s="2" t="n">
        <v>0</v>
      </c>
      <c r="AK3" s="2" t="n">
        <v>-5802000000</v>
      </c>
      <c r="AL3" s="2" t="n">
        <v>-121983000000</v>
      </c>
      <c r="AM3" s="2" t="n">
        <v>0</v>
      </c>
      <c r="AN3" s="2" t="n">
        <v>-794000000</v>
      </c>
      <c r="AO3" s="2" t="n">
        <v>29943000000</v>
      </c>
      <c r="AP3" s="2" t="n">
        <v>30737000000</v>
      </c>
      <c r="AQ3" s="2" t="n">
        <v>118254000000</v>
      </c>
      <c r="AR3" s="2" t="n">
        <v>-9447000000</v>
      </c>
      <c r="AS3" s="2" t="n">
        <v>108807000000</v>
      </c>
      <c r="AT3" s="2" t="n">
        <v>26102000000</v>
      </c>
      <c r="AU3" s="2" t="n">
        <v>0</v>
      </c>
    </row>
    <row r="4">
      <c r="A4" s="2" t="inlineStr">
        <is>
          <t>2023-09-30</t>
        </is>
      </c>
      <c r="B4" s="2" t="inlineStr">
        <is>
          <t>AAPL</t>
        </is>
      </c>
      <c r="C4" s="2" t="inlineStr">
        <is>
          <t>USD</t>
        </is>
      </c>
      <c r="D4" s="2" t="inlineStr">
        <is>
          <t>0000320193</t>
        </is>
      </c>
      <c r="E4" s="2" t="inlineStr">
        <is>
          <t>2023-11-03</t>
        </is>
      </c>
      <c r="F4" s="2" t="inlineStr">
        <is>
          <t>2023-11-02 18:08:27</t>
        </is>
      </c>
      <c r="G4" s="2" t="inlineStr">
        <is>
          <t>2023</t>
        </is>
      </c>
      <c r="H4" s="2" t="inlineStr">
        <is>
          <t>FY</t>
        </is>
      </c>
      <c r="I4" s="2" t="n">
        <v>96995000000</v>
      </c>
      <c r="J4" s="2" t="n">
        <v>11519000000</v>
      </c>
      <c r="K4" s="2" t="n">
        <v>0</v>
      </c>
      <c r="L4" s="2" t="n">
        <v>10833000000</v>
      </c>
      <c r="M4" s="2" t="n">
        <v>-6577000000</v>
      </c>
      <c r="N4" s="2" t="n">
        <v>-417000000</v>
      </c>
      <c r="O4" s="2" t="n">
        <v>-1618000000</v>
      </c>
      <c r="P4" s="2" t="n">
        <v>-1889000000</v>
      </c>
      <c r="Q4" s="2" t="n">
        <v>-2653000000</v>
      </c>
      <c r="R4" s="2" t="n">
        <v>-2227000000</v>
      </c>
      <c r="S4" s="2" t="n">
        <v>110543000000</v>
      </c>
      <c r="T4" s="2" t="n">
        <v>-10959000000</v>
      </c>
      <c r="U4" s="2" t="n">
        <v>0</v>
      </c>
      <c r="V4" s="2" t="n">
        <v>-29513000000</v>
      </c>
      <c r="W4" s="2" t="n">
        <v>45514000000</v>
      </c>
      <c r="X4" s="2" t="n">
        <v>-1337000000</v>
      </c>
      <c r="Y4" s="2" t="n">
        <v>3705000000</v>
      </c>
      <c r="Z4" s="2" t="n">
        <v>-9901000000</v>
      </c>
      <c r="AA4" s="2" t="n">
        <v>-5923000000</v>
      </c>
      <c r="AB4" s="2" t="n">
        <v>-3978000000</v>
      </c>
      <c r="AC4" s="2" t="n">
        <v>-77550000000</v>
      </c>
      <c r="AD4" s="2" t="n">
        <v>-77550000000</v>
      </c>
      <c r="AE4" s="2" t="n">
        <v>0</v>
      </c>
      <c r="AF4" s="2" t="n">
        <v>-77550000000</v>
      </c>
      <c r="AG4" s="2" t="n">
        <v>0</v>
      </c>
      <c r="AH4" s="2" t="n">
        <v>-15025000000</v>
      </c>
      <c r="AI4" s="2" t="n">
        <v>-15025000000</v>
      </c>
      <c r="AJ4" s="2" t="n">
        <v>0</v>
      </c>
      <c r="AK4" s="2" t="n">
        <v>-6012000000</v>
      </c>
      <c r="AL4" s="2" t="n">
        <v>-108488000000</v>
      </c>
      <c r="AM4" s="2" t="n">
        <v>0</v>
      </c>
      <c r="AN4" s="2" t="n">
        <v>5760000000</v>
      </c>
      <c r="AO4" s="2" t="n">
        <v>30737000000</v>
      </c>
      <c r="AP4" s="2" t="n">
        <v>24977000000</v>
      </c>
      <c r="AQ4" s="2" t="n">
        <v>110543000000</v>
      </c>
      <c r="AR4" s="2" t="n">
        <v>-10959000000</v>
      </c>
      <c r="AS4" s="2" t="n">
        <v>99584000000</v>
      </c>
      <c r="AT4" s="2" t="n">
        <v>18679000000</v>
      </c>
      <c r="AU4" s="2" t="n">
        <v>3803000000</v>
      </c>
    </row>
    <row r="5">
      <c r="A5" s="2" t="inlineStr">
        <is>
          <t>2022-09-24</t>
        </is>
      </c>
      <c r="B5" s="2" t="inlineStr">
        <is>
          <t>AAPL</t>
        </is>
      </c>
      <c r="C5" s="2" t="inlineStr">
        <is>
          <t>USD</t>
        </is>
      </c>
      <c r="D5" s="2" t="inlineStr">
        <is>
          <t>0000320193</t>
        </is>
      </c>
      <c r="E5" s="2" t="inlineStr">
        <is>
          <t>2022-10-28</t>
        </is>
      </c>
      <c r="F5" s="2" t="inlineStr">
        <is>
          <t>2022-10-27 18:01:14</t>
        </is>
      </c>
      <c r="G5" s="2" t="inlineStr">
        <is>
          <t>2022</t>
        </is>
      </c>
      <c r="H5" s="2" t="inlineStr">
        <is>
          <t>FY</t>
        </is>
      </c>
      <c r="I5" s="2" t="n">
        <v>99803000000</v>
      </c>
      <c r="J5" s="2" t="n">
        <v>11104000000</v>
      </c>
      <c r="K5" s="2" t="n">
        <v>895000000</v>
      </c>
      <c r="L5" s="2" t="n">
        <v>9038000000</v>
      </c>
      <c r="M5" s="2" t="n">
        <v>1200000000</v>
      </c>
      <c r="N5" s="2" t="n">
        <v>-9343000000</v>
      </c>
      <c r="O5" s="2" t="n">
        <v>1484000000</v>
      </c>
      <c r="P5" s="2" t="n">
        <v>9448000000</v>
      </c>
      <c r="Q5" s="2" t="n">
        <v>-389000000</v>
      </c>
      <c r="R5" s="2" t="n">
        <v>111000000</v>
      </c>
      <c r="S5" s="2" t="n">
        <v>122151000000</v>
      </c>
      <c r="T5" s="2" t="n">
        <v>-10708000000</v>
      </c>
      <c r="U5" s="2" t="n">
        <v>-306000000</v>
      </c>
      <c r="V5" s="2" t="n">
        <v>-76923000000</v>
      </c>
      <c r="W5" s="2" t="n">
        <v>67363000000</v>
      </c>
      <c r="X5" s="2" t="n">
        <v>-1780000000</v>
      </c>
      <c r="Y5" s="2" t="n">
        <v>-22354000000</v>
      </c>
      <c r="Z5" s="2" t="n">
        <v>-123000000</v>
      </c>
      <c r="AA5" s="2" t="n">
        <v>-4078000000</v>
      </c>
      <c r="AB5" s="2" t="n">
        <v>3955000000</v>
      </c>
      <c r="AC5" s="2" t="n">
        <v>-89402000000</v>
      </c>
      <c r="AD5" s="2" t="n">
        <v>-89402000000</v>
      </c>
      <c r="AE5" s="2" t="n">
        <v>0</v>
      </c>
      <c r="AF5" s="2" t="n">
        <v>-89402000000</v>
      </c>
      <c r="AG5" s="2" t="n">
        <v>0</v>
      </c>
      <c r="AH5" s="2" t="n">
        <v>-14841000000</v>
      </c>
      <c r="AI5" s="2" t="n">
        <v>-14841000000</v>
      </c>
      <c r="AJ5" s="2" t="n">
        <v>0</v>
      </c>
      <c r="AK5" s="2" t="n">
        <v>-6383000000</v>
      </c>
      <c r="AL5" s="2" t="n">
        <v>-110749000000</v>
      </c>
      <c r="AM5" s="2" t="n">
        <v>0</v>
      </c>
      <c r="AN5" s="2" t="n">
        <v>-10952000000</v>
      </c>
      <c r="AO5" s="2" t="n">
        <v>24977000000</v>
      </c>
      <c r="AP5" s="2" t="n">
        <v>35929000000</v>
      </c>
      <c r="AQ5" s="2" t="n">
        <v>122151000000</v>
      </c>
      <c r="AR5" s="2" t="n">
        <v>-10708000000</v>
      </c>
      <c r="AS5" s="2" t="n">
        <v>111443000000</v>
      </c>
      <c r="AT5" s="2" t="n">
        <v>19573000000</v>
      </c>
      <c r="AU5" s="2" t="n">
        <v>2865000000</v>
      </c>
    </row>
    <row r="6">
      <c r="A6" s="2" t="inlineStr">
        <is>
          <t>2021-09-25</t>
        </is>
      </c>
      <c r="B6" s="2" t="inlineStr">
        <is>
          <t>AAPL</t>
        </is>
      </c>
      <c r="C6" s="2" t="inlineStr">
        <is>
          <t>USD</t>
        </is>
      </c>
      <c r="D6" s="2" t="inlineStr">
        <is>
          <t>0000320193</t>
        </is>
      </c>
      <c r="E6" s="2" t="inlineStr">
        <is>
          <t>2021-10-29</t>
        </is>
      </c>
      <c r="F6" s="2" t="inlineStr">
        <is>
          <t>2021-10-28 18:04:28</t>
        </is>
      </c>
      <c r="G6" s="2" t="inlineStr">
        <is>
          <t>2021</t>
        </is>
      </c>
      <c r="H6" s="2" t="inlineStr">
        <is>
          <t>FY</t>
        </is>
      </c>
      <c r="I6" s="2" t="n">
        <v>94680000000</v>
      </c>
      <c r="J6" s="2" t="n">
        <v>11284000000</v>
      </c>
      <c r="K6" s="2" t="n">
        <v>-4774000000</v>
      </c>
      <c r="L6" s="2" t="n">
        <v>7906000000</v>
      </c>
      <c r="M6" s="2" t="n">
        <v>-4911000000</v>
      </c>
      <c r="N6" s="2" t="n">
        <v>-14028000000</v>
      </c>
      <c r="O6" s="2" t="n">
        <v>-2642000000</v>
      </c>
      <c r="P6" s="2" t="n">
        <v>12326000000</v>
      </c>
      <c r="Q6" s="2" t="n">
        <v>-567000000</v>
      </c>
      <c r="R6" s="2" t="n">
        <v>-147000000</v>
      </c>
      <c r="S6" s="2" t="n">
        <v>104038000000</v>
      </c>
      <c r="T6" s="2" t="n">
        <v>-11085000000</v>
      </c>
      <c r="U6" s="2" t="n">
        <v>-33000000</v>
      </c>
      <c r="V6" s="2" t="n">
        <v>-109558000000</v>
      </c>
      <c r="W6" s="2" t="n">
        <v>106483000000</v>
      </c>
      <c r="X6" s="2" t="n">
        <v>-352000000</v>
      </c>
      <c r="Y6" s="2" t="n">
        <v>-14545000000</v>
      </c>
      <c r="Z6" s="2" t="n">
        <v>12665000000</v>
      </c>
      <c r="AA6" s="2" t="n">
        <v>11643000000</v>
      </c>
      <c r="AB6" s="2" t="n">
        <v>1022000000</v>
      </c>
      <c r="AC6" s="2" t="n">
        <v>-84866000000</v>
      </c>
      <c r="AD6" s="2" t="n">
        <v>-84866000000</v>
      </c>
      <c r="AE6" s="2" t="n">
        <v>1105000000</v>
      </c>
      <c r="AF6" s="2" t="n">
        <v>-85971000000</v>
      </c>
      <c r="AG6" s="2" t="n">
        <v>0</v>
      </c>
      <c r="AH6" s="2" t="n">
        <v>-14467000000</v>
      </c>
      <c r="AI6" s="2" t="n">
        <v>-14467000000</v>
      </c>
      <c r="AJ6" s="2" t="n">
        <v>0</v>
      </c>
      <c r="AK6" s="2" t="n">
        <v>-6685000000</v>
      </c>
      <c r="AL6" s="2" t="n">
        <v>-93353000000</v>
      </c>
      <c r="AM6" s="2" t="n">
        <v>0</v>
      </c>
      <c r="AN6" s="2" t="n">
        <v>-3860000000</v>
      </c>
      <c r="AO6" s="2" t="n">
        <v>35929000000</v>
      </c>
      <c r="AP6" s="2" t="n">
        <v>39789000000</v>
      </c>
      <c r="AQ6" s="2" t="n">
        <v>104038000000</v>
      </c>
      <c r="AR6" s="2" t="n">
        <v>-11085000000</v>
      </c>
      <c r="AS6" s="2" t="n">
        <v>92953000000</v>
      </c>
      <c r="AT6" s="2" t="n">
        <v>25385000000</v>
      </c>
      <c r="AU6" s="2" t="n">
        <v>2687000000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2025-09-27</t>
        </is>
      </c>
      <c r="C1" s="1" t="inlineStr">
        <is>
          <t>2024-09-28</t>
        </is>
      </c>
      <c r="D1" s="1" t="inlineStr">
        <is>
          <t>2023-09-30</t>
        </is>
      </c>
      <c r="E1" s="1" t="inlineStr">
        <is>
          <t>2022-09-24</t>
        </is>
      </c>
      <c r="F1" s="1" t="inlineStr">
        <is>
          <t>2021-09-25</t>
        </is>
      </c>
    </row>
    <row r="2">
      <c r="A2" s="2" t="inlineStr">
        <is>
          <t>Revenue</t>
        </is>
      </c>
      <c r="B2" s="3" t="n">
        <v>416161000000</v>
      </c>
      <c r="C2" s="3" t="n">
        <v>391035000000</v>
      </c>
      <c r="D2" s="3" t="n">
        <v>383285000000</v>
      </c>
      <c r="E2" s="3" t="n">
        <v>394328000000</v>
      </c>
      <c r="F2" s="3" t="n">
        <v>365817000000</v>
      </c>
    </row>
    <row r="3">
      <c r="A3" s="2" t="inlineStr">
        <is>
          <t>COGS</t>
        </is>
      </c>
      <c r="B3" s="3" t="n">
        <v>220960000000</v>
      </c>
      <c r="C3" s="3" t="n">
        <v>210352000000</v>
      </c>
      <c r="D3" s="3" t="n">
        <v>214137000000</v>
      </c>
      <c r="E3" s="3" t="n">
        <v>223546000000</v>
      </c>
      <c r="F3" s="3" t="n">
        <v>212981000000</v>
      </c>
    </row>
    <row r="4">
      <c r="A4" s="2" t="inlineStr">
        <is>
          <t>Reported Gross Profit</t>
        </is>
      </c>
      <c r="B4" s="3" t="n">
        <v>195201000000</v>
      </c>
      <c r="C4" s="3" t="n">
        <v>180683000000</v>
      </c>
      <c r="D4" s="3" t="n">
        <v>169148000000</v>
      </c>
      <c r="E4" s="3" t="n">
        <v>170782000000</v>
      </c>
      <c r="F4" s="3" t="n">
        <v>152836000000</v>
      </c>
    </row>
    <row r="5">
      <c r="A5" s="2" t="inlineStr">
        <is>
          <t>R&amp;D</t>
        </is>
      </c>
      <c r="B5" s="3" t="n">
        <v>34550000000</v>
      </c>
      <c r="C5" s="3" t="n">
        <v>31370000000</v>
      </c>
      <c r="D5" s="3" t="n">
        <v>29915000000</v>
      </c>
      <c r="E5" s="3" t="n">
        <v>26251000000</v>
      </c>
      <c r="F5" s="3" t="n">
        <v>21914000000</v>
      </c>
    </row>
    <row r="6">
      <c r="A6" s="2" t="inlineStr">
        <is>
          <t>SG&amp;A</t>
        </is>
      </c>
      <c r="B6" s="3" t="n">
        <v>27601000000</v>
      </c>
      <c r="C6" s="3" t="n">
        <v>26097000000</v>
      </c>
      <c r="D6" s="3" t="n">
        <v>24932000000</v>
      </c>
      <c r="E6" s="3" t="n">
        <v>25094000000</v>
      </c>
      <c r="F6" s="3" t="n">
        <v>21973000000</v>
      </c>
    </row>
    <row r="7">
      <c r="A7" s="2" t="inlineStr">
        <is>
          <t>Reported Operating Expenses</t>
        </is>
      </c>
      <c r="B7" s="3" t="n">
        <v>62151000000</v>
      </c>
      <c r="C7" s="3" t="n">
        <v>57467000000</v>
      </c>
      <c r="D7" s="3" t="n">
        <v>54847000000</v>
      </c>
      <c r="E7" s="3" t="n">
        <v>51345000000</v>
      </c>
      <c r="F7" s="3" t="n">
        <v>43887000000</v>
      </c>
    </row>
    <row r="8">
      <c r="A8" s="2" t="inlineStr">
        <is>
          <t>Reported Operating Income</t>
        </is>
      </c>
      <c r="B8" s="3" t="n">
        <v>133050000000</v>
      </c>
      <c r="C8" s="3" t="n">
        <v>123216000000</v>
      </c>
      <c r="D8" s="3" t="n">
        <v>114301000000</v>
      </c>
      <c r="E8" s="3" t="n">
        <v>119437000000</v>
      </c>
      <c r="F8" s="3" t="n">
        <v>108949000000</v>
      </c>
    </row>
    <row r="9">
      <c r="A9" s="2" t="inlineStr">
        <is>
          <t>Interest Expense</t>
        </is>
      </c>
      <c r="B9" s="3" t="n">
        <v>0</v>
      </c>
      <c r="C9" s="3" t="n">
        <v>0</v>
      </c>
      <c r="D9" s="3" t="n">
        <v>3933000000</v>
      </c>
      <c r="E9" s="3" t="n">
        <v>2931000000</v>
      </c>
      <c r="F9" s="3" t="n">
        <v>2645000000</v>
      </c>
    </row>
    <row r="10">
      <c r="A10" s="2" t="inlineStr">
        <is>
          <t>Pre-Tax Income</t>
        </is>
      </c>
      <c r="B10" s="3" t="n">
        <v>132729000000</v>
      </c>
      <c r="C10" s="3" t="n">
        <v>123485000000</v>
      </c>
      <c r="D10" s="3" t="n">
        <v>113736000000</v>
      </c>
      <c r="E10" s="3" t="n">
        <v>119103000000</v>
      </c>
      <c r="F10" s="3" t="n">
        <v>109207000000</v>
      </c>
    </row>
    <row r="11">
      <c r="A11" s="2" t="inlineStr">
        <is>
          <t>Taxes</t>
        </is>
      </c>
      <c r="B11" s="3" t="n">
        <v>20719000000</v>
      </c>
      <c r="C11" s="3" t="n">
        <v>29749000000</v>
      </c>
      <c r="D11" s="3" t="n">
        <v>16741000000</v>
      </c>
      <c r="E11" s="3" t="n">
        <v>19300000000</v>
      </c>
      <c r="F11" s="3" t="n">
        <v>14527000000</v>
      </c>
    </row>
    <row r="12">
      <c r="A12" s="2" t="inlineStr">
        <is>
          <t>Reported Net Income</t>
        </is>
      </c>
      <c r="B12" s="3" t="n">
        <v>112010000000</v>
      </c>
      <c r="C12" s="3" t="n">
        <v>93736000000</v>
      </c>
      <c r="D12" s="3" t="n">
        <v>96995000000</v>
      </c>
      <c r="E12" s="3" t="n">
        <v>99803000000</v>
      </c>
      <c r="F12" s="3" t="n">
        <v>94680000000</v>
      </c>
    </row>
    <row r="13">
      <c r="A13" s="2" t="inlineStr">
        <is>
          <t>Shares Outstanding</t>
        </is>
      </c>
      <c r="B13" s="3" t="n">
        <v>14948500000</v>
      </c>
      <c r="C13" s="3" t="n">
        <v>15343783000</v>
      </c>
      <c r="D13" s="3" t="n">
        <v>15744231000</v>
      </c>
      <c r="E13" s="3" t="n">
        <v>16215963000</v>
      </c>
      <c r="F13" s="3" t="n">
        <v>16701272000</v>
      </c>
    </row>
    <row r="14">
      <c r="A14" s="2" t="inlineStr">
        <is>
          <t>Reported EPS</t>
        </is>
      </c>
      <c r="B14" s="3" t="n">
        <v>7.49</v>
      </c>
      <c r="C14" s="3" t="n">
        <v>6.11</v>
      </c>
      <c r="D14" s="3" t="n">
        <v>6.16</v>
      </c>
      <c r="E14" s="3" t="n">
        <v>6.15</v>
      </c>
      <c r="F14" s="3" t="n">
        <v>5.67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Line Item</t>
        </is>
      </c>
      <c r="B1" s="1" t="inlineStr">
        <is>
          <t>2025-09-27</t>
        </is>
      </c>
      <c r="C1" s="1" t="inlineStr">
        <is>
          <t>2024-09-28</t>
        </is>
      </c>
      <c r="D1" s="1" t="inlineStr">
        <is>
          <t>2023-09-30</t>
        </is>
      </c>
      <c r="E1" s="1" t="inlineStr">
        <is>
          <t>2022-09-24</t>
        </is>
      </c>
      <c r="F1" s="1" t="inlineStr">
        <is>
          <t>2021-09-25</t>
        </is>
      </c>
    </row>
    <row r="2">
      <c r="A2" s="2" t="inlineStr">
        <is>
          <t>Cash &amp; Equivalents</t>
        </is>
      </c>
      <c r="B2" s="3" t="n">
        <v>35934000000</v>
      </c>
      <c r="C2" s="3" t="n">
        <v>29943000000</v>
      </c>
      <c r="D2" s="3" t="n">
        <v>29965000000</v>
      </c>
      <c r="E2" s="3" t="n">
        <v>23646000000</v>
      </c>
      <c r="F2" s="3" t="n">
        <v>34940000000</v>
      </c>
    </row>
    <row r="3">
      <c r="A3" s="2" t="inlineStr">
        <is>
          <t>Short-Term Investments</t>
        </is>
      </c>
      <c r="B3" s="3" t="n">
        <v>18763000000</v>
      </c>
      <c r="C3" s="3" t="n">
        <v>35228000000</v>
      </c>
      <c r="D3" s="3" t="n">
        <v>31590000000</v>
      </c>
      <c r="E3" s="3" t="n">
        <v>24658000000</v>
      </c>
      <c r="F3" s="3" t="n">
        <v>27699000000</v>
      </c>
    </row>
    <row r="4">
      <c r="A4" s="2" t="inlineStr">
        <is>
          <t>Receivables</t>
        </is>
      </c>
      <c r="B4" s="3" t="n">
        <v>72957000000</v>
      </c>
      <c r="C4" s="3" t="n">
        <v>66243000000</v>
      </c>
      <c r="D4" s="3" t="n">
        <v>60985000000</v>
      </c>
      <c r="E4" s="3" t="n">
        <v>60932000000</v>
      </c>
      <c r="F4" s="3" t="n">
        <v>51506000000</v>
      </c>
    </row>
    <row r="5">
      <c r="A5" s="2" t="inlineStr">
        <is>
          <t>Inventory</t>
        </is>
      </c>
      <c r="B5" s="3" t="n">
        <v>5718000000</v>
      </c>
      <c r="C5" s="3" t="n">
        <v>7286000000</v>
      </c>
      <c r="D5" s="3" t="n">
        <v>6331000000</v>
      </c>
      <c r="E5" s="3" t="n">
        <v>4946000000</v>
      </c>
      <c r="F5" s="3" t="n">
        <v>6580000000</v>
      </c>
    </row>
    <row r="6">
      <c r="A6" s="2" t="inlineStr">
        <is>
          <t>Other Current Assets</t>
        </is>
      </c>
      <c r="B6" s="3" t="n">
        <v>14585000000</v>
      </c>
      <c r="C6" s="3" t="n">
        <v>14287000000</v>
      </c>
      <c r="D6" s="3" t="n">
        <v>14695000000</v>
      </c>
      <c r="E6" s="3" t="n">
        <v>21223000000</v>
      </c>
      <c r="F6" s="3" t="n">
        <v>14111000000</v>
      </c>
    </row>
    <row r="7">
      <c r="A7" s="2" t="inlineStr">
        <is>
          <t>Reported Total Current Assets</t>
        </is>
      </c>
      <c r="B7" s="3" t="n">
        <v>147957000000</v>
      </c>
      <c r="C7" s="3" t="n">
        <v>152987000000</v>
      </c>
      <c r="D7" s="3" t="n">
        <v>143566000000</v>
      </c>
      <c r="E7" s="3" t="n">
        <v>135405000000</v>
      </c>
      <c r="F7" s="3" t="n">
        <v>134836000000</v>
      </c>
    </row>
    <row r="8">
      <c r="A8" s="2" t="inlineStr">
        <is>
          <t>PP&amp;E, Net</t>
        </is>
      </c>
      <c r="B8" s="3" t="n">
        <v>49834000000</v>
      </c>
      <c r="C8" s="3" t="n">
        <v>45680000000</v>
      </c>
      <c r="D8" s="3" t="n">
        <v>54376000000</v>
      </c>
      <c r="E8" s="3" t="n">
        <v>52534000000</v>
      </c>
      <c r="F8" s="3" t="n">
        <v>49527000000</v>
      </c>
    </row>
    <row r="9">
      <c r="A9" s="2" t="inlineStr">
        <is>
          <t>Goodwill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2" t="inlineStr">
        <is>
          <t>Intangibles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2" t="inlineStr">
        <is>
          <t>Other Non-Current Assets</t>
        </is>
      </c>
      <c r="B11" s="3" t="n">
        <v>62950000000</v>
      </c>
      <c r="C11" s="3" t="n">
        <v>55335000000</v>
      </c>
      <c r="D11" s="3" t="n">
        <v>36245000000</v>
      </c>
      <c r="E11" s="3" t="n">
        <v>28636000000</v>
      </c>
      <c r="F11" s="3" t="n">
        <v>38762000000</v>
      </c>
    </row>
    <row r="12">
      <c r="A12" s="2" t="inlineStr">
        <is>
          <t>Reported Total Assets</t>
        </is>
      </c>
      <c r="B12" s="3" t="n">
        <v>359241000000</v>
      </c>
      <c r="C12" s="3" t="n">
        <v>364980000000</v>
      </c>
      <c r="D12" s="3" t="n">
        <v>352583000000</v>
      </c>
      <c r="E12" s="3" t="n">
        <v>352755000000</v>
      </c>
      <c r="F12" s="3" t="n">
        <v>351002000000</v>
      </c>
    </row>
    <row r="13">
      <c r="A13" s="2" t="inlineStr">
        <is>
          <t>Accounts Payable</t>
        </is>
      </c>
      <c r="B13" s="3" t="n">
        <v>69860000000</v>
      </c>
      <c r="C13" s="3" t="n">
        <v>68960000000</v>
      </c>
      <c r="D13" s="3" t="n">
        <v>62611000000</v>
      </c>
      <c r="E13" s="3" t="n">
        <v>64115000000</v>
      </c>
      <c r="F13" s="3" t="n">
        <v>54763000000</v>
      </c>
    </row>
    <row r="14">
      <c r="A14" s="2" t="inlineStr">
        <is>
          <t>Short-Term Debt</t>
        </is>
      </c>
      <c r="B14" s="3" t="n">
        <v>20329000000</v>
      </c>
      <c r="C14" s="3" t="n">
        <v>20879000000</v>
      </c>
      <c r="D14" s="3" t="n">
        <v>15807000000</v>
      </c>
      <c r="E14" s="3" t="n">
        <v>21110000000</v>
      </c>
      <c r="F14" s="3" t="n">
        <v>15613000000</v>
      </c>
    </row>
    <row r="15">
      <c r="A15" s="2" t="inlineStr">
        <is>
          <t>Other Current Liabilities</t>
        </is>
      </c>
      <c r="B15" s="3" t="n">
        <v>42335000000</v>
      </c>
      <c r="C15" s="3" t="n">
        <v>50071000000</v>
      </c>
      <c r="D15" s="3" t="n">
        <v>48435000000</v>
      </c>
      <c r="E15" s="3" t="n">
        <v>52630000000</v>
      </c>
      <c r="F15" s="3" t="n">
        <v>45965000000</v>
      </c>
    </row>
    <row r="16">
      <c r="A16" s="2" t="inlineStr">
        <is>
          <t>Reported Total Current Liabilities</t>
        </is>
      </c>
      <c r="B16" s="3" t="n">
        <v>165631000000</v>
      </c>
      <c r="C16" s="3" t="n">
        <v>176392000000</v>
      </c>
      <c r="D16" s="3" t="n">
        <v>145308000000</v>
      </c>
      <c r="E16" s="3" t="n">
        <v>153982000000</v>
      </c>
      <c r="F16" s="3" t="n">
        <v>125481000000</v>
      </c>
    </row>
    <row r="17">
      <c r="A17" s="2" t="inlineStr">
        <is>
          <t>Long-Term Debt</t>
        </is>
      </c>
      <c r="B17" s="3" t="n">
        <v>78328000000</v>
      </c>
      <c r="C17" s="3" t="n">
        <v>85750000000</v>
      </c>
      <c r="D17" s="3" t="n">
        <v>95281000000</v>
      </c>
      <c r="E17" s="3" t="n">
        <v>98959000000</v>
      </c>
      <c r="F17" s="3" t="n">
        <v>109106000000</v>
      </c>
    </row>
    <row r="18">
      <c r="A18" s="2" t="inlineStr">
        <is>
          <t>Other Non-Current Liabilities</t>
        </is>
      </c>
      <c r="B18" s="3" t="n">
        <v>29946000000</v>
      </c>
      <c r="C18" s="3" t="n">
        <v>35090000000</v>
      </c>
      <c r="D18" s="3" t="n">
        <v>38581000000</v>
      </c>
      <c r="E18" s="3" t="n">
        <v>38394000000</v>
      </c>
      <c r="F18" s="3" t="n">
        <v>43050000000</v>
      </c>
    </row>
    <row r="19">
      <c r="A19" s="2" t="inlineStr">
        <is>
          <t>Reported Total Liabilities</t>
        </is>
      </c>
      <c r="B19" s="3" t="n">
        <v>285508000000</v>
      </c>
      <c r="C19" s="3" t="n">
        <v>308030000000</v>
      </c>
      <c r="D19" s="3" t="n">
        <v>290437000000</v>
      </c>
      <c r="E19" s="3" t="n">
        <v>302083000000</v>
      </c>
      <c r="F19" s="3" t="n">
        <v>287912000000</v>
      </c>
    </row>
    <row r="20">
      <c r="A20" s="2" t="inlineStr">
        <is>
          <t>Common Stock</t>
        </is>
      </c>
      <c r="B20" s="3" t="n">
        <v>93568000000</v>
      </c>
      <c r="C20" s="3" t="n">
        <v>83276000000</v>
      </c>
      <c r="D20" s="3" t="n">
        <v>73812000000</v>
      </c>
      <c r="E20" s="3" t="n">
        <v>64849000000</v>
      </c>
      <c r="F20" s="3" t="n">
        <v>57365000000</v>
      </c>
    </row>
    <row r="21">
      <c r="A21" s="2" t="inlineStr">
        <is>
          <t>Retained Earnings</t>
        </is>
      </c>
      <c r="B21" s="3" t="n">
        <v>-14264000000</v>
      </c>
      <c r="C21" s="3" t="n">
        <v>-19154000000</v>
      </c>
      <c r="D21" s="3" t="n">
        <v>-214000000</v>
      </c>
      <c r="E21" s="3" t="n">
        <v>-3068000000</v>
      </c>
      <c r="F21" s="3" t="n">
        <v>5562000000</v>
      </c>
    </row>
    <row r="22">
      <c r="A22" s="2" t="inlineStr">
        <is>
          <t>Reported Total Equity</t>
        </is>
      </c>
      <c r="B22" s="3" t="n">
        <v>73733000000</v>
      </c>
      <c r="C22" s="3" t="n">
        <v>56950000000</v>
      </c>
      <c r="D22" s="3" t="n">
        <v>62146000000</v>
      </c>
      <c r="E22" s="3" t="n">
        <v>50672000000</v>
      </c>
      <c r="F22" s="3" t="n">
        <v>63090000000</v>
      </c>
    </row>
    <row r="23">
      <c r="A23" s="2" t="inlineStr">
        <is>
          <t>Reported Total Debt</t>
        </is>
      </c>
      <c r="B23" s="3" t="n">
        <v>112377000000</v>
      </c>
      <c r="C23" s="3" t="n">
        <v>119059000000</v>
      </c>
      <c r="D23" s="3" t="n">
        <v>123930000000</v>
      </c>
      <c r="E23" s="3" t="n">
        <v>132480000000</v>
      </c>
      <c r="F23" s="3" t="n">
        <v>136522000000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2025-09-27</t>
        </is>
      </c>
      <c r="C1" s="1" t="inlineStr">
        <is>
          <t>2024-09-28</t>
        </is>
      </c>
      <c r="D1" s="1" t="inlineStr">
        <is>
          <t>2023-09-30</t>
        </is>
      </c>
      <c r="E1" s="1" t="inlineStr">
        <is>
          <t>2022-09-24</t>
        </is>
      </c>
      <c r="F1" s="1" t="inlineStr">
        <is>
          <t>2021-09-25</t>
        </is>
      </c>
    </row>
    <row r="2">
      <c r="A2" s="2" t="inlineStr">
        <is>
          <t>Reported Net Income</t>
        </is>
      </c>
      <c r="B2" s="3" t="n">
        <v>112010000000</v>
      </c>
      <c r="C2" s="3" t="n">
        <v>93736000000</v>
      </c>
      <c r="D2" s="3" t="n">
        <v>96995000000</v>
      </c>
      <c r="E2" s="3" t="n">
        <v>99803000000</v>
      </c>
      <c r="F2" s="3" t="n">
        <v>94680000000</v>
      </c>
    </row>
    <row r="3">
      <c r="A3" s="2" t="inlineStr">
        <is>
          <t>D&amp;A</t>
        </is>
      </c>
      <c r="B3" s="3" t="n">
        <v>11698000000</v>
      </c>
      <c r="C3" s="3" t="n">
        <v>11445000000</v>
      </c>
      <c r="D3" s="3" t="n">
        <v>11519000000</v>
      </c>
      <c r="E3" s="3" t="n">
        <v>11104000000</v>
      </c>
      <c r="F3" s="3" t="n">
        <v>11284000000</v>
      </c>
    </row>
    <row r="4">
      <c r="A4" s="2" t="inlineStr">
        <is>
          <t>Stock-Based Compensation</t>
        </is>
      </c>
      <c r="B4" s="3" t="n">
        <v>12863000000</v>
      </c>
      <c r="C4" s="3" t="n">
        <v>11688000000</v>
      </c>
      <c r="D4" s="3" t="n">
        <v>10833000000</v>
      </c>
      <c r="E4" s="3" t="n">
        <v>9038000000</v>
      </c>
      <c r="F4" s="3" t="n">
        <v>7906000000</v>
      </c>
    </row>
    <row r="5">
      <c r="A5" s="2" t="inlineStr">
        <is>
          <t>Change in Working Capital</t>
        </is>
      </c>
      <c r="B5" s="3" t="n">
        <v>-25000000000</v>
      </c>
      <c r="C5" s="3" t="n">
        <v>3651000000</v>
      </c>
      <c r="D5" s="3" t="n">
        <v>-6577000000</v>
      </c>
      <c r="E5" s="3" t="n">
        <v>1200000000</v>
      </c>
      <c r="F5" s="3" t="n">
        <v>-4911000000</v>
      </c>
    </row>
    <row r="6">
      <c r="A6" s="2" t="inlineStr">
        <is>
          <t>Reported CFO</t>
        </is>
      </c>
      <c r="B6" s="3" t="n">
        <v>111482000000</v>
      </c>
      <c r="C6" s="3" t="n">
        <v>118254000000</v>
      </c>
      <c r="D6" s="3" t="n">
        <v>110543000000</v>
      </c>
      <c r="E6" s="3" t="n">
        <v>122151000000</v>
      </c>
      <c r="F6" s="3" t="n">
        <v>104038000000</v>
      </c>
    </row>
    <row r="7">
      <c r="A7" s="2" t="inlineStr">
        <is>
          <t>Capex</t>
        </is>
      </c>
      <c r="B7" s="3" t="n">
        <v>-12715000000</v>
      </c>
      <c r="C7" s="3" t="n">
        <v>-9447000000</v>
      </c>
      <c r="D7" s="3" t="n">
        <v>-10959000000</v>
      </c>
      <c r="E7" s="3" t="n">
        <v>-10708000000</v>
      </c>
      <c r="F7" s="3" t="n">
        <v>-11085000000</v>
      </c>
    </row>
    <row r="8">
      <c r="A8" s="2" t="inlineStr">
        <is>
          <t>Acquisitions</t>
        </is>
      </c>
      <c r="B8" s="3" t="n">
        <v>0</v>
      </c>
      <c r="C8" s="3" t="n">
        <v>0</v>
      </c>
      <c r="D8" s="3" t="n">
        <v>0</v>
      </c>
      <c r="E8" s="3" t="n">
        <v>-306000000</v>
      </c>
      <c r="F8" s="3" t="n">
        <v>-33000000</v>
      </c>
    </row>
    <row r="9">
      <c r="A9" s="2" t="inlineStr">
        <is>
          <t>Reported CFI</t>
        </is>
      </c>
      <c r="B9" s="3" t="inlineStr"/>
      <c r="C9" s="3" t="inlineStr"/>
      <c r="D9" s="3" t="inlineStr"/>
      <c r="E9" s="3" t="inlineStr"/>
      <c r="F9" s="3" t="inlineStr"/>
    </row>
    <row r="10">
      <c r="A10" s="2" t="inlineStr">
        <is>
          <t>Debt Repayment</t>
        </is>
      </c>
      <c r="B10" s="3" t="inlineStr"/>
      <c r="C10" s="3" t="inlineStr"/>
      <c r="D10" s="3" t="inlineStr"/>
      <c r="E10" s="3" t="inlineStr"/>
      <c r="F10" s="3" t="inlineStr"/>
    </row>
    <row r="11">
      <c r="A11" s="2" t="inlineStr">
        <is>
          <t>Stock Issued</t>
        </is>
      </c>
      <c r="B11" s="3" t="inlineStr"/>
      <c r="C11" s="3" t="inlineStr"/>
      <c r="D11" s="3" t="inlineStr"/>
      <c r="E11" s="3" t="inlineStr"/>
      <c r="F11" s="3" t="inlineStr"/>
    </row>
    <row r="12">
      <c r="A12" s="2" t="inlineStr">
        <is>
          <t>Stock Repurchased</t>
        </is>
      </c>
      <c r="B12" s="3" t="n">
        <v>-90711000000</v>
      </c>
      <c r="C12" s="3" t="n">
        <v>-94949000000</v>
      </c>
      <c r="D12" s="3" t="n">
        <v>-77550000000</v>
      </c>
      <c r="E12" s="3" t="n">
        <v>-89402000000</v>
      </c>
      <c r="F12" s="3" t="n">
        <v>-85971000000</v>
      </c>
    </row>
    <row r="13">
      <c r="A13" s="2" t="inlineStr">
        <is>
          <t>Dividends Paid</t>
        </is>
      </c>
      <c r="B13" s="3" t="inlineStr"/>
      <c r="C13" s="3" t="inlineStr"/>
      <c r="D13" s="3" t="inlineStr"/>
      <c r="E13" s="3" t="inlineStr"/>
      <c r="F13" s="3" t="inlineStr"/>
    </row>
    <row r="14">
      <c r="A14" s="2" t="inlineStr">
        <is>
          <t>Reported CFF</t>
        </is>
      </c>
      <c r="B14" s="3" t="inlineStr"/>
      <c r="C14" s="3" t="inlineStr"/>
      <c r="D14" s="3" t="inlineStr"/>
      <c r="E14" s="3" t="inlineStr"/>
      <c r="F14" s="3" t="inlineStr"/>
    </row>
    <row r="15">
      <c r="A15" s="2" t="inlineStr">
        <is>
          <t>Reported Free Cash Flow</t>
        </is>
      </c>
      <c r="B15" s="3" t="n">
        <v>98767000000</v>
      </c>
      <c r="C15" s="3" t="n">
        <v>108807000000</v>
      </c>
      <c r="D15" s="3" t="n">
        <v>99584000000</v>
      </c>
      <c r="E15" s="3" t="n">
        <v>111443000000</v>
      </c>
      <c r="F15" s="3" t="n">
        <v>92953000000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8" customWidth="1" min="3" max="3"/>
    <col width="9" customWidth="1" min="4" max="4"/>
  </cols>
  <sheetData>
    <row r="1">
      <c r="A1" s="1" t="inlineStr">
        <is>
          <t>statement</t>
        </is>
      </c>
      <c r="B1" s="1" t="inlineStr">
        <is>
          <t>canonical_line</t>
        </is>
      </c>
      <c r="C1" s="1" t="inlineStr">
        <is>
          <t>source_field_used</t>
        </is>
      </c>
      <c r="D1" s="1" t="inlineStr">
        <is>
          <t>status</t>
        </is>
      </c>
    </row>
    <row r="2">
      <c r="A2" s="2" t="inlineStr">
        <is>
          <t>IS</t>
        </is>
      </c>
      <c r="B2" s="2" t="inlineStr">
        <is>
          <t>Revenue</t>
        </is>
      </c>
      <c r="C2" s="2" t="inlineStr">
        <is>
          <t>revenue</t>
        </is>
      </c>
      <c r="D2" s="2" t="inlineStr">
        <is>
          <t>mapped</t>
        </is>
      </c>
    </row>
    <row r="3">
      <c r="A3" s="2" t="inlineStr">
        <is>
          <t>IS</t>
        </is>
      </c>
      <c r="B3" s="2" t="inlineStr">
        <is>
          <t>COGS</t>
        </is>
      </c>
      <c r="C3" s="2" t="inlineStr">
        <is>
          <t>costOfRevenue</t>
        </is>
      </c>
      <c r="D3" s="2" t="inlineStr">
        <is>
          <t>mapped</t>
        </is>
      </c>
    </row>
    <row r="4">
      <c r="A4" s="2" t="inlineStr">
        <is>
          <t>IS</t>
        </is>
      </c>
      <c r="B4" s="2" t="inlineStr">
        <is>
          <t>Reported Gross Profit</t>
        </is>
      </c>
      <c r="C4" s="2" t="inlineStr">
        <is>
          <t>grossProfit</t>
        </is>
      </c>
      <c r="D4" s="2" t="inlineStr">
        <is>
          <t>mapped</t>
        </is>
      </c>
    </row>
    <row r="5">
      <c r="A5" s="2" t="inlineStr">
        <is>
          <t>IS</t>
        </is>
      </c>
      <c r="B5" s="2" t="inlineStr">
        <is>
          <t>R&amp;D</t>
        </is>
      </c>
      <c r="C5" s="2" t="inlineStr">
        <is>
          <t>researchAndDevelopmentExpenses</t>
        </is>
      </c>
      <c r="D5" s="2" t="inlineStr">
        <is>
          <t>mapped</t>
        </is>
      </c>
    </row>
    <row r="6">
      <c r="A6" s="2" t="inlineStr">
        <is>
          <t>IS</t>
        </is>
      </c>
      <c r="B6" s="2" t="inlineStr">
        <is>
          <t>SG&amp;A</t>
        </is>
      </c>
      <c r="C6" s="2" t="inlineStr">
        <is>
          <t>sellingGeneralAndAdministrativeExpenses</t>
        </is>
      </c>
      <c r="D6" s="2" t="inlineStr">
        <is>
          <t>mapped</t>
        </is>
      </c>
    </row>
    <row r="7">
      <c r="A7" s="2" t="inlineStr">
        <is>
          <t>IS</t>
        </is>
      </c>
      <c r="B7" s="2" t="inlineStr">
        <is>
          <t>Reported Operating Expenses</t>
        </is>
      </c>
      <c r="C7" s="2" t="inlineStr">
        <is>
          <t>operatingExpenses</t>
        </is>
      </c>
      <c r="D7" s="2" t="inlineStr">
        <is>
          <t>mapped</t>
        </is>
      </c>
    </row>
    <row r="8">
      <c r="A8" s="2" t="inlineStr">
        <is>
          <t>IS</t>
        </is>
      </c>
      <c r="B8" s="2" t="inlineStr">
        <is>
          <t>Reported Operating Income</t>
        </is>
      </c>
      <c r="C8" s="2" t="inlineStr">
        <is>
          <t>operatingIncome</t>
        </is>
      </c>
      <c r="D8" s="2" t="inlineStr">
        <is>
          <t>mapped</t>
        </is>
      </c>
    </row>
    <row r="9">
      <c r="A9" s="2" t="inlineStr">
        <is>
          <t>IS</t>
        </is>
      </c>
      <c r="B9" s="2" t="inlineStr">
        <is>
          <t>Interest Expense</t>
        </is>
      </c>
      <c r="C9" s="2" t="inlineStr">
        <is>
          <t>interestExpense</t>
        </is>
      </c>
      <c r="D9" s="2" t="inlineStr">
        <is>
          <t>mapped</t>
        </is>
      </c>
    </row>
    <row r="10">
      <c r="A10" s="2" t="inlineStr">
        <is>
          <t>IS</t>
        </is>
      </c>
      <c r="B10" s="2" t="inlineStr">
        <is>
          <t>Pre-Tax Income</t>
        </is>
      </c>
      <c r="C10" s="2" t="inlineStr">
        <is>
          <t>incomeBeforeTax</t>
        </is>
      </c>
      <c r="D10" s="2" t="inlineStr">
        <is>
          <t>mapped</t>
        </is>
      </c>
    </row>
    <row r="11">
      <c r="A11" s="2" t="inlineStr">
        <is>
          <t>IS</t>
        </is>
      </c>
      <c r="B11" s="2" t="inlineStr">
        <is>
          <t>Taxes</t>
        </is>
      </c>
      <c r="C11" s="2" t="inlineStr">
        <is>
          <t>incomeTaxExpense</t>
        </is>
      </c>
      <c r="D11" s="2" t="inlineStr">
        <is>
          <t>mapped</t>
        </is>
      </c>
    </row>
    <row r="12">
      <c r="A12" s="2" t="inlineStr">
        <is>
          <t>IS</t>
        </is>
      </c>
      <c r="B12" s="2" t="inlineStr">
        <is>
          <t>Reported Net Income</t>
        </is>
      </c>
      <c r="C12" s="2" t="inlineStr">
        <is>
          <t>netIncome</t>
        </is>
      </c>
      <c r="D12" s="2" t="inlineStr">
        <is>
          <t>mapped</t>
        </is>
      </c>
    </row>
    <row r="13">
      <c r="A13" s="2" t="inlineStr">
        <is>
          <t>IS</t>
        </is>
      </c>
      <c r="B13" s="2" t="inlineStr">
        <is>
          <t>Shares Outstanding</t>
        </is>
      </c>
      <c r="C13" s="2" t="inlineStr">
        <is>
          <t>weightedAverageShsOut</t>
        </is>
      </c>
      <c r="D13" s="2" t="inlineStr">
        <is>
          <t>mapped</t>
        </is>
      </c>
    </row>
    <row r="14">
      <c r="A14" s="2" t="inlineStr">
        <is>
          <t>IS</t>
        </is>
      </c>
      <c r="B14" s="2" t="inlineStr">
        <is>
          <t>Reported EPS</t>
        </is>
      </c>
      <c r="C14" s="2" t="inlineStr">
        <is>
          <t>eps</t>
        </is>
      </c>
      <c r="D14" s="2" t="inlineStr">
        <is>
          <t>mapped</t>
        </is>
      </c>
    </row>
    <row r="15">
      <c r="A15" s="2" t="inlineStr">
        <is>
          <t>BS</t>
        </is>
      </c>
      <c r="B15" s="2" t="inlineStr">
        <is>
          <t>Cash &amp; Equivalents</t>
        </is>
      </c>
      <c r="C15" s="2" t="inlineStr">
        <is>
          <t>cashAndCashEquivalents</t>
        </is>
      </c>
      <c r="D15" s="2" t="inlineStr">
        <is>
          <t>mapped</t>
        </is>
      </c>
    </row>
    <row r="16">
      <c r="A16" s="2" t="inlineStr">
        <is>
          <t>BS</t>
        </is>
      </c>
      <c r="B16" s="2" t="inlineStr">
        <is>
          <t>Short-Term Investments</t>
        </is>
      </c>
      <c r="C16" s="2" t="inlineStr">
        <is>
          <t>shortTermInvestments</t>
        </is>
      </c>
      <c r="D16" s="2" t="inlineStr">
        <is>
          <t>mapped</t>
        </is>
      </c>
    </row>
    <row r="17">
      <c r="A17" s="2" t="inlineStr">
        <is>
          <t>BS</t>
        </is>
      </c>
      <c r="B17" s="2" t="inlineStr">
        <is>
          <t>Receivables</t>
        </is>
      </c>
      <c r="C17" s="2" t="inlineStr">
        <is>
          <t>netReceivables</t>
        </is>
      </c>
      <c r="D17" s="2" t="inlineStr">
        <is>
          <t>mapped</t>
        </is>
      </c>
    </row>
    <row r="18">
      <c r="A18" s="2" t="inlineStr">
        <is>
          <t>BS</t>
        </is>
      </c>
      <c r="B18" s="2" t="inlineStr">
        <is>
          <t>Inventory</t>
        </is>
      </c>
      <c r="C18" s="2" t="inlineStr">
        <is>
          <t>inventory</t>
        </is>
      </c>
      <c r="D18" s="2" t="inlineStr">
        <is>
          <t>mapped</t>
        </is>
      </c>
    </row>
    <row r="19">
      <c r="A19" s="2" t="inlineStr">
        <is>
          <t>BS</t>
        </is>
      </c>
      <c r="B19" s="2" t="inlineStr">
        <is>
          <t>Other Current Assets</t>
        </is>
      </c>
      <c r="C19" s="2" t="inlineStr">
        <is>
          <t>otherCurrentAssets</t>
        </is>
      </c>
      <c r="D19" s="2" t="inlineStr">
        <is>
          <t>mapped</t>
        </is>
      </c>
    </row>
    <row r="20">
      <c r="A20" s="2" t="inlineStr">
        <is>
          <t>BS</t>
        </is>
      </c>
      <c r="B20" s="2" t="inlineStr">
        <is>
          <t>Reported Total Current Assets</t>
        </is>
      </c>
      <c r="C20" s="2" t="inlineStr">
        <is>
          <t>totalCurrentAssets</t>
        </is>
      </c>
      <c r="D20" s="2" t="inlineStr">
        <is>
          <t>mapped</t>
        </is>
      </c>
    </row>
    <row r="21">
      <c r="A21" s="2" t="inlineStr">
        <is>
          <t>BS</t>
        </is>
      </c>
      <c r="B21" s="2" t="inlineStr">
        <is>
          <t>PP&amp;E, Net</t>
        </is>
      </c>
      <c r="C21" s="2" t="inlineStr">
        <is>
          <t>propertyPlantEquipmentNet</t>
        </is>
      </c>
      <c r="D21" s="2" t="inlineStr">
        <is>
          <t>mapped</t>
        </is>
      </c>
    </row>
    <row r="22">
      <c r="A22" s="2" t="inlineStr">
        <is>
          <t>BS</t>
        </is>
      </c>
      <c r="B22" s="2" t="inlineStr">
        <is>
          <t>Goodwill</t>
        </is>
      </c>
      <c r="C22" s="2" t="inlineStr">
        <is>
          <t>goodwill</t>
        </is>
      </c>
      <c r="D22" s="2" t="inlineStr">
        <is>
          <t>mapped</t>
        </is>
      </c>
    </row>
    <row r="23">
      <c r="A23" s="2" t="inlineStr">
        <is>
          <t>BS</t>
        </is>
      </c>
      <c r="B23" s="2" t="inlineStr">
        <is>
          <t>Intangibles</t>
        </is>
      </c>
      <c r="C23" s="2" t="inlineStr">
        <is>
          <t>intangibleAssets</t>
        </is>
      </c>
      <c r="D23" s="2" t="inlineStr">
        <is>
          <t>mapped</t>
        </is>
      </c>
    </row>
    <row r="24">
      <c r="A24" s="2" t="inlineStr">
        <is>
          <t>BS</t>
        </is>
      </c>
      <c r="B24" s="2" t="inlineStr">
        <is>
          <t>Other Non-Current Assets</t>
        </is>
      </c>
      <c r="C24" s="2" t="inlineStr">
        <is>
          <t>otherNonCurrentAssets</t>
        </is>
      </c>
      <c r="D24" s="2" t="inlineStr">
        <is>
          <t>mapped</t>
        </is>
      </c>
    </row>
    <row r="25">
      <c r="A25" s="2" t="inlineStr">
        <is>
          <t>BS</t>
        </is>
      </c>
      <c r="B25" s="2" t="inlineStr">
        <is>
          <t>Reported Total Assets</t>
        </is>
      </c>
      <c r="C25" s="2" t="inlineStr">
        <is>
          <t>totalAssets</t>
        </is>
      </c>
      <c r="D25" s="2" t="inlineStr">
        <is>
          <t>mapped</t>
        </is>
      </c>
    </row>
    <row r="26">
      <c r="A26" s="2" t="inlineStr">
        <is>
          <t>BS</t>
        </is>
      </c>
      <c r="B26" s="2" t="inlineStr">
        <is>
          <t>Accounts Payable</t>
        </is>
      </c>
      <c r="C26" s="2" t="inlineStr">
        <is>
          <t>accountPayables</t>
        </is>
      </c>
      <c r="D26" s="2" t="inlineStr">
        <is>
          <t>mapped</t>
        </is>
      </c>
    </row>
    <row r="27">
      <c r="A27" s="2" t="inlineStr">
        <is>
          <t>BS</t>
        </is>
      </c>
      <c r="B27" s="2" t="inlineStr">
        <is>
          <t>Short-Term Debt</t>
        </is>
      </c>
      <c r="C27" s="2" t="inlineStr">
        <is>
          <t>shortTermDebt</t>
        </is>
      </c>
      <c r="D27" s="2" t="inlineStr">
        <is>
          <t>mapped</t>
        </is>
      </c>
    </row>
    <row r="28">
      <c r="A28" s="2" t="inlineStr">
        <is>
          <t>BS</t>
        </is>
      </c>
      <c r="B28" s="2" t="inlineStr">
        <is>
          <t>Other Current Liabilities</t>
        </is>
      </c>
      <c r="C28" s="2" t="inlineStr">
        <is>
          <t>otherCurrentLiabilities</t>
        </is>
      </c>
      <c r="D28" s="2" t="inlineStr">
        <is>
          <t>mapped</t>
        </is>
      </c>
    </row>
    <row r="29">
      <c r="A29" s="2" t="inlineStr">
        <is>
          <t>BS</t>
        </is>
      </c>
      <c r="B29" s="2" t="inlineStr">
        <is>
          <t>Reported Total Current Liabilities</t>
        </is>
      </c>
      <c r="C29" s="2" t="inlineStr">
        <is>
          <t>totalCurrentLiabilities</t>
        </is>
      </c>
      <c r="D29" s="2" t="inlineStr">
        <is>
          <t>mapped</t>
        </is>
      </c>
    </row>
    <row r="30">
      <c r="A30" s="2" t="inlineStr">
        <is>
          <t>BS</t>
        </is>
      </c>
      <c r="B30" s="2" t="inlineStr">
        <is>
          <t>Long-Term Debt</t>
        </is>
      </c>
      <c r="C30" s="2" t="inlineStr">
        <is>
          <t>longTermDebt</t>
        </is>
      </c>
      <c r="D30" s="2" t="inlineStr">
        <is>
          <t>mapped</t>
        </is>
      </c>
    </row>
    <row r="31">
      <c r="A31" s="2" t="inlineStr">
        <is>
          <t>BS</t>
        </is>
      </c>
      <c r="B31" s="2" t="inlineStr">
        <is>
          <t>Other Non-Current Liabilities</t>
        </is>
      </c>
      <c r="C31" s="2" t="inlineStr">
        <is>
          <t>otherNonCurrentLiabilities</t>
        </is>
      </c>
      <c r="D31" s="2" t="inlineStr">
        <is>
          <t>mapped</t>
        </is>
      </c>
    </row>
    <row r="32">
      <c r="A32" s="2" t="inlineStr">
        <is>
          <t>BS</t>
        </is>
      </c>
      <c r="B32" s="2" t="inlineStr">
        <is>
          <t>Reported Total Liabilities</t>
        </is>
      </c>
      <c r="C32" s="2" t="inlineStr">
        <is>
          <t>totalLiabilities</t>
        </is>
      </c>
      <c r="D32" s="2" t="inlineStr">
        <is>
          <t>mapped</t>
        </is>
      </c>
    </row>
    <row r="33">
      <c r="A33" s="2" t="inlineStr">
        <is>
          <t>BS</t>
        </is>
      </c>
      <c r="B33" s="2" t="inlineStr">
        <is>
          <t>Common Stock</t>
        </is>
      </c>
      <c r="C33" s="2" t="inlineStr">
        <is>
          <t>commonStock</t>
        </is>
      </c>
      <c r="D33" s="2" t="inlineStr">
        <is>
          <t>mapped</t>
        </is>
      </c>
    </row>
    <row r="34">
      <c r="A34" s="2" t="inlineStr">
        <is>
          <t>BS</t>
        </is>
      </c>
      <c r="B34" s="2" t="inlineStr">
        <is>
          <t>Retained Earnings</t>
        </is>
      </c>
      <c r="C34" s="2" t="inlineStr">
        <is>
          <t>retainedEarnings</t>
        </is>
      </c>
      <c r="D34" s="2" t="inlineStr">
        <is>
          <t>mapped</t>
        </is>
      </c>
    </row>
    <row r="35">
      <c r="A35" s="2" t="inlineStr">
        <is>
          <t>BS</t>
        </is>
      </c>
      <c r="B35" s="2" t="inlineStr">
        <is>
          <t>Reported Total Equity</t>
        </is>
      </c>
      <c r="C35" s="2" t="inlineStr">
        <is>
          <t>totalStockholdersEquity</t>
        </is>
      </c>
      <c r="D35" s="2" t="inlineStr">
        <is>
          <t>mapped</t>
        </is>
      </c>
    </row>
    <row r="36">
      <c r="A36" s="2" t="inlineStr">
        <is>
          <t>BS</t>
        </is>
      </c>
      <c r="B36" s="2" t="inlineStr">
        <is>
          <t>Reported Total Debt</t>
        </is>
      </c>
      <c r="C36" s="2" t="inlineStr">
        <is>
          <t>totalDebt</t>
        </is>
      </c>
      <c r="D36" s="2" t="inlineStr">
        <is>
          <t>mapped</t>
        </is>
      </c>
    </row>
    <row r="37">
      <c r="A37" s="2" t="inlineStr">
        <is>
          <t>CF</t>
        </is>
      </c>
      <c r="B37" s="2" t="inlineStr">
        <is>
          <t>Reported Net Income</t>
        </is>
      </c>
      <c r="C37" s="2" t="inlineStr">
        <is>
          <t>netIncome</t>
        </is>
      </c>
      <c r="D37" s="2" t="inlineStr">
        <is>
          <t>mapped</t>
        </is>
      </c>
    </row>
    <row r="38">
      <c r="A38" s="2" t="inlineStr">
        <is>
          <t>CF</t>
        </is>
      </c>
      <c r="B38" s="2" t="inlineStr">
        <is>
          <t>D&amp;A</t>
        </is>
      </c>
      <c r="C38" s="2" t="inlineStr">
        <is>
          <t>depreciationAndAmortization</t>
        </is>
      </c>
      <c r="D38" s="2" t="inlineStr">
        <is>
          <t>mapped</t>
        </is>
      </c>
    </row>
    <row r="39">
      <c r="A39" s="2" t="inlineStr">
        <is>
          <t>CF</t>
        </is>
      </c>
      <c r="B39" s="2" t="inlineStr">
        <is>
          <t>Stock-Based Compensation</t>
        </is>
      </c>
      <c r="C39" s="2" t="inlineStr">
        <is>
          <t>stockBasedCompensation</t>
        </is>
      </c>
      <c r="D39" s="2" t="inlineStr">
        <is>
          <t>mapped</t>
        </is>
      </c>
    </row>
    <row r="40">
      <c r="A40" s="2" t="inlineStr">
        <is>
          <t>CF</t>
        </is>
      </c>
      <c r="B40" s="2" t="inlineStr">
        <is>
          <t>Change in Working Capital</t>
        </is>
      </c>
      <c r="C40" s="2" t="inlineStr">
        <is>
          <t>changeInWorkingCapital</t>
        </is>
      </c>
      <c r="D40" s="2" t="inlineStr">
        <is>
          <t>mapped</t>
        </is>
      </c>
    </row>
    <row r="41">
      <c r="A41" s="2" t="inlineStr">
        <is>
          <t>CF</t>
        </is>
      </c>
      <c r="B41" s="2" t="inlineStr">
        <is>
          <t>Reported CFO</t>
        </is>
      </c>
      <c r="C41" s="2" t="inlineStr">
        <is>
          <t>netCashProvidedByOperatingActivities</t>
        </is>
      </c>
      <c r="D41" s="2" t="inlineStr">
        <is>
          <t>mapped</t>
        </is>
      </c>
    </row>
    <row r="42">
      <c r="A42" s="2" t="inlineStr">
        <is>
          <t>CF</t>
        </is>
      </c>
      <c r="B42" s="2" t="inlineStr">
        <is>
          <t>Capex</t>
        </is>
      </c>
      <c r="C42" s="2" t="inlineStr">
        <is>
          <t>capitalExpenditure</t>
        </is>
      </c>
      <c r="D42" s="2" t="inlineStr">
        <is>
          <t>mapped</t>
        </is>
      </c>
    </row>
    <row r="43">
      <c r="A43" s="2" t="inlineStr">
        <is>
          <t>CF</t>
        </is>
      </c>
      <c r="B43" s="2" t="inlineStr">
        <is>
          <t>Acquisitions</t>
        </is>
      </c>
      <c r="C43" s="2" t="inlineStr">
        <is>
          <t>acquisitionsNet</t>
        </is>
      </c>
      <c r="D43" s="2" t="inlineStr">
        <is>
          <t>mapped</t>
        </is>
      </c>
    </row>
    <row r="44">
      <c r="A44" s="2" t="inlineStr">
        <is>
          <t>CF</t>
        </is>
      </c>
      <c r="B44" s="2" t="inlineStr">
        <is>
          <t>Reported CFI</t>
        </is>
      </c>
      <c r="C44" s="2" t="inlineStr">
        <is>
          <t>MISSING</t>
        </is>
      </c>
      <c r="D44" s="2" t="inlineStr">
        <is>
          <t>missing</t>
        </is>
      </c>
    </row>
    <row r="45">
      <c r="A45" s="2" t="inlineStr">
        <is>
          <t>CF</t>
        </is>
      </c>
      <c r="B45" s="2" t="inlineStr">
        <is>
          <t>Debt Repayment</t>
        </is>
      </c>
      <c r="C45" s="2" t="inlineStr">
        <is>
          <t>MISSING</t>
        </is>
      </c>
      <c r="D45" s="2" t="inlineStr">
        <is>
          <t>missing</t>
        </is>
      </c>
    </row>
    <row r="46">
      <c r="A46" s="2" t="inlineStr">
        <is>
          <t>CF</t>
        </is>
      </c>
      <c r="B46" s="2" t="inlineStr">
        <is>
          <t>Stock Issued</t>
        </is>
      </c>
      <c r="C46" s="2" t="inlineStr">
        <is>
          <t>MISSING</t>
        </is>
      </c>
      <c r="D46" s="2" t="inlineStr">
        <is>
          <t>missing</t>
        </is>
      </c>
    </row>
    <row r="47">
      <c r="A47" s="2" t="inlineStr">
        <is>
          <t>CF</t>
        </is>
      </c>
      <c r="B47" s="2" t="inlineStr">
        <is>
          <t>Stock Repurchased</t>
        </is>
      </c>
      <c r="C47" s="2" t="inlineStr">
        <is>
          <t>commonStockRepurchased</t>
        </is>
      </c>
      <c r="D47" s="2" t="inlineStr">
        <is>
          <t>mapped</t>
        </is>
      </c>
    </row>
    <row r="48">
      <c r="A48" s="2" t="inlineStr">
        <is>
          <t>CF</t>
        </is>
      </c>
      <c r="B48" s="2" t="inlineStr">
        <is>
          <t>Dividends Paid</t>
        </is>
      </c>
      <c r="C48" s="2" t="inlineStr">
        <is>
          <t>MISSING</t>
        </is>
      </c>
      <c r="D48" s="2" t="inlineStr">
        <is>
          <t>missing</t>
        </is>
      </c>
    </row>
    <row r="49">
      <c r="A49" s="2" t="inlineStr">
        <is>
          <t>CF</t>
        </is>
      </c>
      <c r="B49" s="2" t="inlineStr">
        <is>
          <t>Reported CFF</t>
        </is>
      </c>
      <c r="C49" s="2" t="inlineStr">
        <is>
          <t>MISSING</t>
        </is>
      </c>
      <c r="D49" s="2" t="inlineStr">
        <is>
          <t>missing</t>
        </is>
      </c>
    </row>
    <row r="50">
      <c r="A50" s="2" t="inlineStr">
        <is>
          <t>CF</t>
        </is>
      </c>
      <c r="B50" s="2" t="inlineStr">
        <is>
          <t>Reported Free Cash Flow</t>
        </is>
      </c>
      <c r="C50" s="2" t="inlineStr">
        <is>
          <t>freeCashFlow</t>
        </is>
      </c>
      <c r="D50" s="2" t="inlineStr">
        <is>
          <t>mapped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n"/>
    </row>
    <row r="2">
      <c r="A2" t="inlineStr">
        <is>
          <t>Line Item</t>
        </is>
      </c>
      <c r="B2" s="5" t="inlineStr">
        <is>
          <t>2025-09-27</t>
        </is>
      </c>
      <c r="C2" s="5" t="inlineStr">
        <is>
          <t>2024-09-28</t>
        </is>
      </c>
      <c r="D2" s="5" t="inlineStr">
        <is>
          <t>2023-09-30</t>
        </is>
      </c>
      <c r="E2" s="5" t="inlineStr">
        <is>
          <t>2022-09-24</t>
        </is>
      </c>
      <c r="F2" s="5" t="inlineStr">
        <is>
          <t>2021-09-25</t>
        </is>
      </c>
    </row>
    <row r="3">
      <c r="A3" s="6" t="inlineStr">
        <is>
          <t>Revenue</t>
        </is>
      </c>
      <c r="B3" s="7" t="n">
        <v>416161000000</v>
      </c>
      <c r="C3" s="7" t="n">
        <v>391035000000</v>
      </c>
      <c r="D3" s="7" t="n">
        <v>383285000000</v>
      </c>
      <c r="E3" s="7" t="n">
        <v>394328000000</v>
      </c>
      <c r="F3" s="7" t="n">
        <v>365817000000</v>
      </c>
    </row>
    <row r="4">
      <c r="A4" t="inlineStr">
        <is>
          <t>COGS</t>
        </is>
      </c>
      <c r="B4" s="8">
        <f>B2-B3</f>
        <v/>
      </c>
      <c r="C4" s="8">
        <f>C2-C3</f>
        <v/>
      </c>
      <c r="D4" s="8">
        <f>D2-D3</f>
        <v/>
      </c>
      <c r="E4" s="8">
        <f>E2-E3</f>
        <v/>
      </c>
      <c r="F4" s="8">
        <f>F2-F3</f>
        <v/>
      </c>
    </row>
    <row r="5">
      <c r="A5" s="6" t="inlineStr">
        <is>
          <t>Calculated Gross Profit</t>
        </is>
      </c>
      <c r="B5" s="7" t="n"/>
      <c r="C5" s="7" t="n"/>
      <c r="D5" s="7" t="n"/>
      <c r="E5" s="7" t="n"/>
      <c r="F5" s="7" t="n"/>
    </row>
    <row r="6">
      <c r="A6" s="6" t="inlineStr">
        <is>
          <t>Reported Gross Profit</t>
        </is>
      </c>
      <c r="B6" s="9">
        <f>IF(OR(B5="",B4=""),"",B5-B4)</f>
        <v/>
      </c>
      <c r="C6" s="9">
        <f>IF(OR(C5="",C4=""),"",C5-C4)</f>
        <v/>
      </c>
      <c r="D6" s="9">
        <f>IF(OR(D5="",D4=""),"",D5-D4)</f>
        <v/>
      </c>
      <c r="E6" s="9">
        <f>IF(OR(E5="",E4=""),"",E5-E4)</f>
        <v/>
      </c>
      <c r="F6" s="9">
        <f>IF(OR(F5="",F4=""),"",F5-F4)</f>
        <v/>
      </c>
    </row>
    <row r="7">
      <c r="A7" s="6" t="inlineStr">
        <is>
          <t>Gross Profit Check</t>
        </is>
      </c>
      <c r="B7" s="7" t="n"/>
      <c r="C7" s="7" t="n"/>
      <c r="D7" s="7" t="n"/>
      <c r="E7" s="7" t="n"/>
      <c r="F7" s="7" t="n"/>
    </row>
    <row r="8">
      <c r="A8" t="inlineStr">
        <is>
          <t>R&amp;D</t>
        </is>
      </c>
      <c r="B8" s="5" t="n">
        <v>34550000000</v>
      </c>
      <c r="C8" s="5" t="n">
        <v>31370000000</v>
      </c>
      <c r="D8" s="5" t="n">
        <v>29915000000</v>
      </c>
      <c r="E8" s="5" t="n">
        <v>26251000000</v>
      </c>
      <c r="F8" s="5" t="n">
        <v>21914000000</v>
      </c>
    </row>
    <row r="9">
      <c r="A9" t="inlineStr">
        <is>
          <t>SG&amp;A</t>
        </is>
      </c>
      <c r="B9" s="8">
        <f>B7+B8</f>
        <v/>
      </c>
      <c r="C9" s="8">
        <f>C7+C8</f>
        <v/>
      </c>
      <c r="D9" s="8">
        <f>D7+D8</f>
        <v/>
      </c>
      <c r="E9" s="8">
        <f>E7+E8</f>
        <v/>
      </c>
      <c r="F9" s="8">
        <f>F7+F8</f>
        <v/>
      </c>
    </row>
    <row r="10">
      <c r="A10" t="inlineStr">
        <is>
          <t>Calculated Total OpEx</t>
        </is>
      </c>
      <c r="B10" s="5" t="n"/>
      <c r="C10" s="5" t="n"/>
      <c r="D10" s="5" t="n"/>
      <c r="E10" s="5" t="n"/>
      <c r="F10" s="5" t="n"/>
    </row>
    <row r="11">
      <c r="A11" t="inlineStr">
        <is>
          <t>Reported Operating Expenses</t>
        </is>
      </c>
      <c r="B11" s="8">
        <f>B4-B9</f>
        <v/>
      </c>
      <c r="C11" s="8">
        <f>C4-C9</f>
        <v/>
      </c>
      <c r="D11" s="8">
        <f>D4-D9</f>
        <v/>
      </c>
      <c r="E11" s="8">
        <f>E4-E9</f>
        <v/>
      </c>
      <c r="F11" s="8">
        <f>F4-F9</f>
        <v/>
      </c>
    </row>
    <row r="12">
      <c r="A12" s="6" t="inlineStr">
        <is>
          <t>Calculated Operating Income</t>
        </is>
      </c>
      <c r="B12" s="7" t="n"/>
      <c r="C12" s="7" t="n"/>
      <c r="D12" s="7" t="n"/>
      <c r="E12" s="7" t="n"/>
      <c r="F12" s="7" t="n"/>
    </row>
    <row r="13">
      <c r="A13" s="6" t="inlineStr">
        <is>
          <t>Reported Operating Income</t>
        </is>
      </c>
      <c r="B13" s="9">
        <f>IF(OR(B12="",B11=""),"",B12-B11)</f>
        <v/>
      </c>
      <c r="C13" s="9">
        <f>IF(OR(C12="",C11=""),"",C12-C11)</f>
        <v/>
      </c>
      <c r="D13" s="9">
        <f>IF(OR(D12="",D11=""),"",D12-D11)</f>
        <v/>
      </c>
      <c r="E13" s="9">
        <f>IF(OR(E12="",E11=""),"",E12-E11)</f>
        <v/>
      </c>
      <c r="F13" s="9">
        <f>IF(OR(F12="",F11=""),"",F12-F11)</f>
        <v/>
      </c>
    </row>
    <row r="14">
      <c r="A14" s="6" t="inlineStr">
        <is>
          <t>Operating Income Check</t>
        </is>
      </c>
      <c r="B14" s="7" t="n"/>
      <c r="C14" s="7" t="n"/>
      <c r="D14" s="7" t="n"/>
      <c r="E14" s="7" t="n"/>
      <c r="F14" s="7" t="n"/>
    </row>
    <row r="15">
      <c r="A15" t="inlineStr">
        <is>
          <t>Interest Expense</t>
        </is>
      </c>
      <c r="B15" s="5" t="n">
        <v>0</v>
      </c>
      <c r="C15" s="5" t="n">
        <v>0</v>
      </c>
      <c r="D15" s="5" t="n">
        <v>3933000000</v>
      </c>
      <c r="E15" s="5" t="n">
        <v>2931000000</v>
      </c>
      <c r="F15" s="5" t="n">
        <v>2645000000</v>
      </c>
    </row>
    <row r="16">
      <c r="A16" t="inlineStr">
        <is>
          <t>Pre-Tax Income</t>
        </is>
      </c>
      <c r="B16" s="5" t="n">
        <v>132729000000</v>
      </c>
      <c r="C16" s="5" t="n">
        <v>123485000000</v>
      </c>
      <c r="D16" s="5" t="n">
        <v>113736000000</v>
      </c>
      <c r="E16" s="5" t="n">
        <v>119103000000</v>
      </c>
      <c r="F16" s="5" t="n">
        <v>109207000000</v>
      </c>
    </row>
    <row r="17">
      <c r="A17" t="inlineStr">
        <is>
          <t>Taxes</t>
        </is>
      </c>
      <c r="B17" s="8">
        <f>IF(OR(B15="",B16=""),"",B15-B16)</f>
        <v/>
      </c>
      <c r="C17" s="8">
        <f>IF(OR(C15="",C16=""),"",C15-C16)</f>
        <v/>
      </c>
      <c r="D17" s="8">
        <f>IF(OR(D15="",D16=""),"",D15-D16)</f>
        <v/>
      </c>
      <c r="E17" s="8">
        <f>IF(OR(E15="",E16=""),"",E15-E16)</f>
        <v/>
      </c>
      <c r="F17" s="8">
        <f>IF(OR(F15="",F16=""),"",F15-F16)</f>
        <v/>
      </c>
    </row>
    <row r="18">
      <c r="A18" s="6" t="inlineStr">
        <is>
          <t>Calculated Net Income</t>
        </is>
      </c>
      <c r="B18" s="7" t="n"/>
      <c r="C18" s="7" t="n"/>
      <c r="D18" s="7" t="n"/>
      <c r="E18" s="7" t="n"/>
      <c r="F18" s="7" t="n"/>
    </row>
    <row r="19">
      <c r="A19" s="6" t="inlineStr">
        <is>
          <t>Reported Net Income</t>
        </is>
      </c>
      <c r="B19" s="9">
        <f>IF(OR(B18="",B17=""),"",B18-B17)</f>
        <v/>
      </c>
      <c r="C19" s="9">
        <f>IF(OR(C18="",C17=""),"",C18-C17)</f>
        <v/>
      </c>
      <c r="D19" s="9">
        <f>IF(OR(D18="",D17=""),"",D18-D17)</f>
        <v/>
      </c>
      <c r="E19" s="9">
        <f>IF(OR(E18="",E17=""),"",E18-E17)</f>
        <v/>
      </c>
      <c r="F19" s="9">
        <f>IF(OR(F18="",F17=""),"",F18-F17)</f>
        <v/>
      </c>
    </row>
    <row r="20">
      <c r="A20" s="6" t="inlineStr">
        <is>
          <t>Net Income Check</t>
        </is>
      </c>
      <c r="B20" s="7" t="n"/>
      <c r="C20" s="7" t="n"/>
      <c r="D20" s="7" t="n"/>
      <c r="E20" s="7" t="n"/>
      <c r="F20" s="7" t="n"/>
    </row>
    <row r="21">
      <c r="A21" t="inlineStr">
        <is>
          <t>Shares Outstanding</t>
        </is>
      </c>
      <c r="B21" s="8">
        <f>IFERROR(B17/B20,"")</f>
        <v/>
      </c>
      <c r="C21" s="8">
        <f>IFERROR(C17/C20,"")</f>
        <v/>
      </c>
      <c r="D21" s="8">
        <f>IFERROR(D17/D20,"")</f>
        <v/>
      </c>
      <c r="E21" s="8">
        <f>IFERROR(E17/E20,"")</f>
        <v/>
      </c>
      <c r="F21" s="8">
        <f>IFERROR(F17/F20,"")</f>
        <v/>
      </c>
    </row>
    <row r="22">
      <c r="A22" t="inlineStr">
        <is>
          <t>Calculated EPS</t>
        </is>
      </c>
      <c r="B22" s="5" t="n"/>
      <c r="C22" s="5" t="n"/>
      <c r="D22" s="5" t="n"/>
      <c r="E22" s="5" t="n"/>
      <c r="F22" s="5" t="n"/>
    </row>
    <row r="23">
      <c r="A23" t="inlineStr">
        <is>
          <t>Reported EPS</t>
        </is>
      </c>
      <c r="B23" s="8">
        <f>IF(OR(B22="",B21=""),"",B22-B21)</f>
        <v/>
      </c>
      <c r="C23" s="8">
        <f>IF(OR(C22="",C21=""),"",C22-C21)</f>
        <v/>
      </c>
      <c r="D23" s="8">
        <f>IF(OR(D22="",D21=""),"",D22-D21)</f>
        <v/>
      </c>
      <c r="E23" s="8">
        <f>IF(OR(E22="",E21=""),"",E22-E21)</f>
        <v/>
      </c>
      <c r="F23" s="8">
        <f>IF(OR(F22="",F21=""),"",F22-F21)</f>
        <v/>
      </c>
    </row>
    <row r="24">
      <c r="A24" t="inlineStr">
        <is>
          <t>EPS Check</t>
        </is>
      </c>
      <c r="B24" s="5" t="n"/>
      <c r="C24" s="5" t="n"/>
      <c r="D24" s="5" t="n"/>
      <c r="E24" s="5" t="n"/>
      <c r="F24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n"/>
    </row>
    <row r="2">
      <c r="A2" t="inlineStr">
        <is>
          <t>Line Item</t>
        </is>
      </c>
      <c r="B2" s="5" t="inlineStr">
        <is>
          <t>2025-09-27</t>
        </is>
      </c>
      <c r="C2" s="5" t="inlineStr">
        <is>
          <t>2024-09-28</t>
        </is>
      </c>
      <c r="D2" s="5" t="inlineStr">
        <is>
          <t>2023-09-30</t>
        </is>
      </c>
      <c r="E2" s="5" t="inlineStr">
        <is>
          <t>2022-09-24</t>
        </is>
      </c>
      <c r="F2" s="5" t="inlineStr">
        <is>
          <t>2021-09-25</t>
        </is>
      </c>
    </row>
    <row r="3">
      <c r="A3" t="inlineStr">
        <is>
          <t>Cash &amp; Equivalents</t>
        </is>
      </c>
      <c r="B3" s="5" t="n">
        <v>35934000000</v>
      </c>
      <c r="C3" s="5" t="n">
        <v>29943000000</v>
      </c>
      <c r="D3" s="5" t="n">
        <v>29965000000</v>
      </c>
      <c r="E3" s="5" t="n">
        <v>23646000000</v>
      </c>
      <c r="F3" s="5" t="n">
        <v>34940000000</v>
      </c>
    </row>
    <row r="4">
      <c r="A4" t="inlineStr">
        <is>
          <t>Short-Term Investments</t>
        </is>
      </c>
      <c r="B4" s="5" t="n">
        <v>18763000000</v>
      </c>
      <c r="C4" s="5" t="n">
        <v>35228000000</v>
      </c>
      <c r="D4" s="5" t="n">
        <v>31590000000</v>
      </c>
      <c r="E4" s="5" t="n">
        <v>24658000000</v>
      </c>
      <c r="F4" s="5" t="n">
        <v>27699000000</v>
      </c>
    </row>
    <row r="5">
      <c r="A5" t="inlineStr">
        <is>
          <t>Receivables</t>
        </is>
      </c>
      <c r="B5" s="5" t="n">
        <v>72957000000</v>
      </c>
      <c r="C5" s="5" t="n">
        <v>66243000000</v>
      </c>
      <c r="D5" s="5" t="n">
        <v>60985000000</v>
      </c>
      <c r="E5" s="5" t="n">
        <v>60932000000</v>
      </c>
      <c r="F5" s="5" t="n">
        <v>51506000000</v>
      </c>
    </row>
    <row r="6">
      <c r="A6" t="inlineStr">
        <is>
          <t>Inventory</t>
        </is>
      </c>
      <c r="B6" s="5" t="n">
        <v>5718000000</v>
      </c>
      <c r="C6" s="5" t="n">
        <v>7286000000</v>
      </c>
      <c r="D6" s="5" t="n">
        <v>6331000000</v>
      </c>
      <c r="E6" s="5" t="n">
        <v>4946000000</v>
      </c>
      <c r="F6" s="5" t="n">
        <v>6580000000</v>
      </c>
    </row>
    <row r="7">
      <c r="A7" t="inlineStr">
        <is>
          <t>Other Current Assets</t>
        </is>
      </c>
      <c r="B7" s="8">
        <f>B2+B3+B4+B5+B6</f>
        <v/>
      </c>
      <c r="C7" s="8">
        <f>C2+C3+C4+C5+C6</f>
        <v/>
      </c>
      <c r="D7" s="8">
        <f>D2+D3+D4+D5+D6</f>
        <v/>
      </c>
      <c r="E7" s="8">
        <f>E2+E3+E4+E5+E6</f>
        <v/>
      </c>
      <c r="F7" s="8">
        <f>F2+F3+F4+F5+F6</f>
        <v/>
      </c>
    </row>
    <row r="8">
      <c r="A8" s="6" t="inlineStr">
        <is>
          <t>Calculated Total Current Assets</t>
        </is>
      </c>
      <c r="B8" s="7" t="n"/>
      <c r="C8" s="7" t="n"/>
      <c r="D8" s="7" t="n"/>
      <c r="E8" s="7" t="n"/>
      <c r="F8" s="7" t="n"/>
    </row>
    <row r="9">
      <c r="A9" s="6" t="inlineStr">
        <is>
          <t>Reported Total Current Assets</t>
        </is>
      </c>
      <c r="B9" s="9">
        <f>IF(OR(B8="",B7=""),"",B8-B7)</f>
        <v/>
      </c>
      <c r="C9" s="9">
        <f>IF(OR(C8="",C7=""),"",C8-C7)</f>
        <v/>
      </c>
      <c r="D9" s="9">
        <f>IF(OR(D8="",D7=""),"",D8-D7)</f>
        <v/>
      </c>
      <c r="E9" s="9">
        <f>IF(OR(E8="",E7=""),"",E8-E7)</f>
        <v/>
      </c>
      <c r="F9" s="9">
        <f>IF(OR(F8="",F7=""),"",F8-F7)</f>
        <v/>
      </c>
    </row>
    <row r="10">
      <c r="A10" s="6" t="inlineStr">
        <is>
          <t>Current Assets Check</t>
        </is>
      </c>
      <c r="B10" s="7" t="n"/>
      <c r="C10" s="7" t="n"/>
      <c r="D10" s="7" t="n"/>
      <c r="E10" s="7" t="n"/>
      <c r="F10" s="7" t="n"/>
    </row>
    <row r="11">
      <c r="A11" t="inlineStr">
        <is>
          <t>PP&amp;E, Net</t>
        </is>
      </c>
      <c r="B11" s="5" t="n">
        <v>49834000000</v>
      </c>
      <c r="C11" s="5" t="n">
        <v>45680000000</v>
      </c>
      <c r="D11" s="5" t="n">
        <v>54376000000</v>
      </c>
      <c r="E11" s="5" t="n">
        <v>52534000000</v>
      </c>
      <c r="F11" s="5" t="n">
        <v>49527000000</v>
      </c>
    </row>
    <row r="12">
      <c r="A12" t="inlineStr">
        <is>
          <t>Goodwill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</row>
    <row r="13">
      <c r="A13" t="inlineStr">
        <is>
          <t>Intangibles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</row>
    <row r="14">
      <c r="A14" t="inlineStr">
        <is>
          <t>Other Non-Current Assets</t>
        </is>
      </c>
      <c r="B14" s="8">
        <f>B7+B10+B11+B12+B13</f>
        <v/>
      </c>
      <c r="C14" s="8">
        <f>C7+C10+C11+C12+C13</f>
        <v/>
      </c>
      <c r="D14" s="8">
        <f>D7+D10+D11+D12+D13</f>
        <v/>
      </c>
      <c r="E14" s="8">
        <f>E7+E10+E11+E12+E13</f>
        <v/>
      </c>
      <c r="F14" s="8">
        <f>F7+F10+F11+F12+F13</f>
        <v/>
      </c>
    </row>
    <row r="15">
      <c r="A15" s="6" t="inlineStr">
        <is>
          <t>Calculated Total Assets</t>
        </is>
      </c>
      <c r="B15" s="7" t="n"/>
      <c r="C15" s="7" t="n"/>
      <c r="D15" s="7" t="n"/>
      <c r="E15" s="7" t="n"/>
      <c r="F15" s="7" t="n"/>
    </row>
    <row r="16">
      <c r="A16" s="6" t="inlineStr">
        <is>
          <t>Reported Total Assets</t>
        </is>
      </c>
      <c r="B16" s="9">
        <f>IF(OR(B15="",B14=""),"",B15-B14)</f>
        <v/>
      </c>
      <c r="C16" s="9">
        <f>IF(OR(C15="",C14=""),"",C15-C14)</f>
        <v/>
      </c>
      <c r="D16" s="9">
        <f>IF(OR(D15="",D14=""),"",D15-D14)</f>
        <v/>
      </c>
      <c r="E16" s="9">
        <f>IF(OR(E15="",E14=""),"",E15-E14)</f>
        <v/>
      </c>
      <c r="F16" s="9">
        <f>IF(OR(F15="",F14=""),"",F15-F14)</f>
        <v/>
      </c>
    </row>
    <row r="17">
      <c r="A17" s="6" t="inlineStr">
        <is>
          <t>Total Assets Check</t>
        </is>
      </c>
      <c r="B17" s="7" t="n"/>
      <c r="C17" s="7" t="n"/>
      <c r="D17" s="7" t="n"/>
      <c r="E17" s="7" t="n"/>
      <c r="F17" s="7" t="n"/>
    </row>
    <row r="18">
      <c r="A18" t="inlineStr">
        <is>
          <t>Accounts Payable</t>
        </is>
      </c>
      <c r="B18" s="5" t="n">
        <v>69860000000</v>
      </c>
      <c r="C18" s="5" t="n">
        <v>68960000000</v>
      </c>
      <c r="D18" s="5" t="n">
        <v>62611000000</v>
      </c>
      <c r="E18" s="5" t="n">
        <v>64115000000</v>
      </c>
      <c r="F18" s="5" t="n">
        <v>54763000000</v>
      </c>
    </row>
    <row r="19">
      <c r="A19" t="inlineStr">
        <is>
          <t>Short-Term Debt</t>
        </is>
      </c>
      <c r="B19" s="5" t="n">
        <v>20329000000</v>
      </c>
      <c r="C19" s="5" t="n">
        <v>20879000000</v>
      </c>
      <c r="D19" s="5" t="n">
        <v>15807000000</v>
      </c>
      <c r="E19" s="5" t="n">
        <v>21110000000</v>
      </c>
      <c r="F19" s="5" t="n">
        <v>15613000000</v>
      </c>
    </row>
    <row r="20">
      <c r="A20" t="inlineStr">
        <is>
          <t>Other Current Liabilities</t>
        </is>
      </c>
      <c r="B20" s="8">
        <f>B17+B18+B19</f>
        <v/>
      </c>
      <c r="C20" s="8">
        <f>C17+C18+C19</f>
        <v/>
      </c>
      <c r="D20" s="8">
        <f>D17+D18+D19</f>
        <v/>
      </c>
      <c r="E20" s="8">
        <f>E17+E18+E19</f>
        <v/>
      </c>
      <c r="F20" s="8">
        <f>F17+F18+F19</f>
        <v/>
      </c>
    </row>
    <row r="21">
      <c r="A21" s="6" t="inlineStr">
        <is>
          <t>Calculated Total Current Liabilities</t>
        </is>
      </c>
      <c r="B21" s="7" t="n"/>
      <c r="C21" s="7" t="n"/>
      <c r="D21" s="7" t="n"/>
      <c r="E21" s="7" t="n"/>
      <c r="F21" s="7" t="n"/>
    </row>
    <row r="22">
      <c r="A22" s="6" t="inlineStr">
        <is>
          <t>Reported Total Current Liabilities</t>
        </is>
      </c>
      <c r="B22" s="9">
        <f>IF(OR(B21="",B20=""),"",B21-B20)</f>
        <v/>
      </c>
      <c r="C22" s="9">
        <f>IF(OR(C21="",C20=""),"",C21-C20)</f>
        <v/>
      </c>
      <c r="D22" s="9">
        <f>IF(OR(D21="",D20=""),"",D21-D20)</f>
        <v/>
      </c>
      <c r="E22" s="9">
        <f>IF(OR(E21="",E20=""),"",E21-E20)</f>
        <v/>
      </c>
      <c r="F22" s="9">
        <f>IF(OR(F21="",F20=""),"",F21-F20)</f>
        <v/>
      </c>
    </row>
    <row r="23">
      <c r="A23" s="6" t="inlineStr">
        <is>
          <t>Current Liabilities Check</t>
        </is>
      </c>
      <c r="B23" s="7" t="n"/>
      <c r="C23" s="7" t="n"/>
      <c r="D23" s="7" t="n"/>
      <c r="E23" s="7" t="n"/>
      <c r="F23" s="7" t="n"/>
    </row>
    <row r="24">
      <c r="A24" t="inlineStr">
        <is>
          <t>Long-Term Debt</t>
        </is>
      </c>
      <c r="B24" s="5" t="n">
        <v>78328000000</v>
      </c>
      <c r="C24" s="5" t="n">
        <v>85750000000</v>
      </c>
      <c r="D24" s="5" t="n">
        <v>95281000000</v>
      </c>
      <c r="E24" s="5" t="n">
        <v>98959000000</v>
      </c>
      <c r="F24" s="5" t="n">
        <v>109106000000</v>
      </c>
    </row>
    <row r="25">
      <c r="A25" t="inlineStr">
        <is>
          <t>Other Non-Current Liabilities</t>
        </is>
      </c>
      <c r="B25" s="8">
        <f>B20+B23+B24</f>
        <v/>
      </c>
      <c r="C25" s="8">
        <f>C20+C23+C24</f>
        <v/>
      </c>
      <c r="D25" s="8">
        <f>D20+D23+D24</f>
        <v/>
      </c>
      <c r="E25" s="8">
        <f>E20+E23+E24</f>
        <v/>
      </c>
      <c r="F25" s="8">
        <f>F20+F23+F24</f>
        <v/>
      </c>
    </row>
    <row r="26">
      <c r="A26" s="6" t="inlineStr">
        <is>
          <t>Calculated Total Liabilities</t>
        </is>
      </c>
      <c r="B26" s="7" t="n"/>
      <c r="C26" s="7" t="n"/>
      <c r="D26" s="7" t="n"/>
      <c r="E26" s="7" t="n"/>
      <c r="F26" s="7" t="n"/>
    </row>
    <row r="27">
      <c r="A27" s="6" t="inlineStr">
        <is>
          <t>Reported Total Liabilities</t>
        </is>
      </c>
      <c r="B27" s="9">
        <f>IF(OR(B26="",B25=""),"",B26-B25)</f>
        <v/>
      </c>
      <c r="C27" s="9">
        <f>IF(OR(C26="",C25=""),"",C26-C25)</f>
        <v/>
      </c>
      <c r="D27" s="9">
        <f>IF(OR(D26="",D25=""),"",D26-D25)</f>
        <v/>
      </c>
      <c r="E27" s="9">
        <f>IF(OR(E26="",E25=""),"",E26-E25)</f>
        <v/>
      </c>
      <c r="F27" s="9">
        <f>IF(OR(F26="",F25=""),"",F26-F25)</f>
        <v/>
      </c>
    </row>
    <row r="28">
      <c r="A28" s="6" t="inlineStr">
        <is>
          <t>Total Liabilities Check</t>
        </is>
      </c>
      <c r="B28" s="7" t="n"/>
      <c r="C28" s="7" t="n"/>
      <c r="D28" s="7" t="n"/>
      <c r="E28" s="7" t="n"/>
      <c r="F28" s="7" t="n"/>
    </row>
    <row r="29">
      <c r="A29" t="inlineStr">
        <is>
          <t>Common Stock</t>
        </is>
      </c>
      <c r="B29" s="5" t="n">
        <v>93568000000</v>
      </c>
      <c r="C29" s="5" t="n">
        <v>83276000000</v>
      </c>
      <c r="D29" s="5" t="n">
        <v>73812000000</v>
      </c>
      <c r="E29" s="5" t="n">
        <v>64849000000</v>
      </c>
      <c r="F29" s="5" t="n">
        <v>57365000000</v>
      </c>
    </row>
    <row r="30">
      <c r="A30" t="inlineStr">
        <is>
          <t>Retained Earnings</t>
        </is>
      </c>
      <c r="B30" s="8">
        <f>B28+B29</f>
        <v/>
      </c>
      <c r="C30" s="8">
        <f>C28+C29</f>
        <v/>
      </c>
      <c r="D30" s="8">
        <f>D28+D29</f>
        <v/>
      </c>
      <c r="E30" s="8">
        <f>E28+E29</f>
        <v/>
      </c>
      <c r="F30" s="8">
        <f>F28+F29</f>
        <v/>
      </c>
    </row>
    <row r="31">
      <c r="A31" s="6" t="inlineStr">
        <is>
          <t>Calculated Total Equity</t>
        </is>
      </c>
      <c r="B31" s="7" t="n"/>
      <c r="C31" s="7" t="n"/>
      <c r="D31" s="7" t="n"/>
      <c r="E31" s="7" t="n"/>
      <c r="F31" s="7" t="n"/>
    </row>
    <row r="32">
      <c r="A32" s="6" t="inlineStr">
        <is>
          <t>Reported Total Equity</t>
        </is>
      </c>
      <c r="B32" s="9">
        <f>IF(OR(B31="",B30=""),"",B31-B30)</f>
        <v/>
      </c>
      <c r="C32" s="9">
        <f>IF(OR(C31="",C30=""),"",C31-C30)</f>
        <v/>
      </c>
      <c r="D32" s="9">
        <f>IF(OR(D31="",D30=""),"",D31-D30)</f>
        <v/>
      </c>
      <c r="E32" s="9">
        <f>IF(OR(E31="",E30=""),"",E31-E30)</f>
        <v/>
      </c>
      <c r="F32" s="9">
        <f>IF(OR(F31="",F30=""),"",F31-F30)</f>
        <v/>
      </c>
    </row>
    <row r="33">
      <c r="A33" s="6" t="inlineStr">
        <is>
          <t>Equity Check</t>
        </is>
      </c>
      <c r="B33" s="9">
        <f>B25+B30</f>
        <v/>
      </c>
      <c r="C33" s="9">
        <f>C25+C30</f>
        <v/>
      </c>
      <c r="D33" s="9">
        <f>D25+D30</f>
        <v/>
      </c>
      <c r="E33" s="9">
        <f>E25+E30</f>
        <v/>
      </c>
      <c r="F33" s="9">
        <f>F25+F30</f>
        <v/>
      </c>
    </row>
    <row r="34">
      <c r="A34" t="inlineStr">
        <is>
          <t>Calculated Total Liabilities + Equity</t>
        </is>
      </c>
      <c r="B34" s="8">
        <f>IF(OR(B15="",B33=""),"",B15-B33)</f>
        <v/>
      </c>
      <c r="C34" s="8">
        <f>IF(OR(C15="",C33=""),"",C15-C33)</f>
        <v/>
      </c>
      <c r="D34" s="8">
        <f>IF(OR(D15="",D33=""),"",D15-D33)</f>
        <v/>
      </c>
      <c r="E34" s="8">
        <f>IF(OR(E15="",E33=""),"",E15-E33)</f>
        <v/>
      </c>
      <c r="F34" s="8">
        <f>IF(OR(F15="",F33=""),"",F15-F33)</f>
        <v/>
      </c>
    </row>
    <row r="35">
      <c r="A35" s="6" t="inlineStr">
        <is>
          <t>L+E Check</t>
        </is>
      </c>
      <c r="B35" s="7" t="n"/>
      <c r="C35" s="7" t="n"/>
      <c r="D35" s="7" t="n"/>
      <c r="E35" s="7" t="n"/>
      <c r="F35" s="7" t="n"/>
    </row>
    <row r="36">
      <c r="A36" t="inlineStr">
        <is>
          <t>Reported Total Debt</t>
        </is>
      </c>
      <c r="B36" s="5" t="n">
        <v>112377000000</v>
      </c>
      <c r="C36" s="5" t="n">
        <v>119059000000</v>
      </c>
      <c r="D36" s="5" t="n">
        <v>123930000000</v>
      </c>
      <c r="E36" s="5" t="n">
        <v>132480000000</v>
      </c>
      <c r="F36" s="5" t="n">
        <v>136522000000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n"/>
    </row>
    <row r="2">
      <c r="A2" t="inlineStr">
        <is>
          <t>Line Item</t>
        </is>
      </c>
      <c r="B2" s="5" t="inlineStr">
        <is>
          <t>2025-09-27</t>
        </is>
      </c>
      <c r="C2" s="5" t="inlineStr">
        <is>
          <t>2024-09-28</t>
        </is>
      </c>
      <c r="D2" s="5" t="inlineStr">
        <is>
          <t>2023-09-30</t>
        </is>
      </c>
      <c r="E2" s="5" t="inlineStr">
        <is>
          <t>2022-09-24</t>
        </is>
      </c>
      <c r="F2" s="5" t="inlineStr">
        <is>
          <t>2021-09-25</t>
        </is>
      </c>
    </row>
    <row r="3">
      <c r="A3" s="6" t="inlineStr">
        <is>
          <t>Reported Net Income</t>
        </is>
      </c>
      <c r="B3" s="7" t="n">
        <v>112010000000</v>
      </c>
      <c r="C3" s="7" t="n">
        <v>93736000000</v>
      </c>
      <c r="D3" s="7" t="n">
        <v>96995000000</v>
      </c>
      <c r="E3" s="7" t="n">
        <v>99803000000</v>
      </c>
      <c r="F3" s="7" t="n">
        <v>94680000000</v>
      </c>
    </row>
    <row r="4">
      <c r="A4" t="inlineStr">
        <is>
          <t>D&amp;A</t>
        </is>
      </c>
      <c r="B4" s="5" t="n">
        <v>11698000000</v>
      </c>
      <c r="C4" s="5" t="n">
        <v>11445000000</v>
      </c>
      <c r="D4" s="5" t="n">
        <v>11519000000</v>
      </c>
      <c r="E4" s="5" t="n">
        <v>11104000000</v>
      </c>
      <c r="F4" s="5" t="n">
        <v>11284000000</v>
      </c>
    </row>
    <row r="5">
      <c r="A5" t="inlineStr">
        <is>
          <t>Stock-Based Compensation</t>
        </is>
      </c>
      <c r="B5" s="5" t="n">
        <v>12863000000</v>
      </c>
      <c r="C5" s="5" t="n">
        <v>11688000000</v>
      </c>
      <c r="D5" s="5" t="n">
        <v>10833000000</v>
      </c>
      <c r="E5" s="5" t="n">
        <v>9038000000</v>
      </c>
      <c r="F5" s="5" t="n">
        <v>7906000000</v>
      </c>
    </row>
    <row r="6">
      <c r="A6" t="inlineStr">
        <is>
          <t>Change in Working Capital</t>
        </is>
      </c>
      <c r="B6" s="8">
        <f>B2+B3+B4-B5</f>
        <v/>
      </c>
      <c r="C6" s="8">
        <f>C2+C3+C4-C5</f>
        <v/>
      </c>
      <c r="D6" s="8">
        <f>D2+D3+D4-D5</f>
        <v/>
      </c>
      <c r="E6" s="8">
        <f>E2+E3+E4-E5</f>
        <v/>
      </c>
      <c r="F6" s="8">
        <f>F2+F3+F4-F5</f>
        <v/>
      </c>
    </row>
    <row r="7">
      <c r="A7" s="6" t="inlineStr">
        <is>
          <t>Calculated CFO</t>
        </is>
      </c>
      <c r="B7" s="7" t="n"/>
      <c r="C7" s="7" t="n"/>
      <c r="D7" s="7" t="n"/>
      <c r="E7" s="7" t="n"/>
      <c r="F7" s="7" t="n"/>
    </row>
    <row r="8">
      <c r="A8" s="6" t="inlineStr">
        <is>
          <t>Reported CFO</t>
        </is>
      </c>
      <c r="B8" s="9">
        <f>IF(OR(B7="",B6=""),"",B7-B6)</f>
        <v/>
      </c>
      <c r="C8" s="9">
        <f>IF(OR(C7="",C6=""),"",C7-C6)</f>
        <v/>
      </c>
      <c r="D8" s="9">
        <f>IF(OR(D7="",D6=""),"",D7-D6)</f>
        <v/>
      </c>
      <c r="E8" s="9">
        <f>IF(OR(E7="",E6=""),"",E7-E6)</f>
        <v/>
      </c>
      <c r="F8" s="9">
        <f>IF(OR(F7="",F6=""),"",F7-F6)</f>
        <v/>
      </c>
    </row>
    <row r="9">
      <c r="A9" s="6" t="inlineStr">
        <is>
          <t>CFO Check</t>
        </is>
      </c>
      <c r="B9" s="7" t="n"/>
      <c r="C9" s="7" t="n"/>
      <c r="D9" s="7" t="n"/>
      <c r="E9" s="7" t="n"/>
      <c r="F9" s="7" t="n"/>
    </row>
    <row r="10">
      <c r="A10" t="inlineStr">
        <is>
          <t>Capex</t>
        </is>
      </c>
      <c r="B10" s="5" t="n">
        <v>-12715000000</v>
      </c>
      <c r="C10" s="5" t="n">
        <v>-9447000000</v>
      </c>
      <c r="D10" s="5" t="n">
        <v>-10959000000</v>
      </c>
      <c r="E10" s="5" t="n">
        <v>-10708000000</v>
      </c>
      <c r="F10" s="5" t="n">
        <v>-11085000000</v>
      </c>
    </row>
    <row r="11">
      <c r="A11" t="inlineStr">
        <is>
          <t>Acquisitions</t>
        </is>
      </c>
      <c r="B11" s="8">
        <f>B9+B10</f>
        <v/>
      </c>
      <c r="C11" s="8">
        <f>C9+C10</f>
        <v/>
      </c>
      <c r="D11" s="8">
        <f>D9+D10</f>
        <v/>
      </c>
      <c r="E11" s="8">
        <f>E9+E10</f>
        <v/>
      </c>
      <c r="F11" s="8">
        <f>F9+F10</f>
        <v/>
      </c>
    </row>
    <row r="12">
      <c r="A12" s="6" t="inlineStr">
        <is>
          <t>Calculated CFI</t>
        </is>
      </c>
      <c r="B12" s="7" t="n"/>
      <c r="C12" s="7" t="n"/>
      <c r="D12" s="7" t="n"/>
      <c r="E12" s="7" t="n"/>
      <c r="F12" s="7" t="n"/>
    </row>
    <row r="13">
      <c r="A13" s="6" t="inlineStr">
        <is>
          <t>Reported CFI</t>
        </is>
      </c>
      <c r="B13" s="9">
        <f>IF(OR(B12="",B11=""),"",B12-B11)</f>
        <v/>
      </c>
      <c r="C13" s="9">
        <f>IF(OR(C12="",C11=""),"",C12-C11)</f>
        <v/>
      </c>
      <c r="D13" s="9">
        <f>IF(OR(D12="",D11=""),"",D12-D11)</f>
        <v/>
      </c>
      <c r="E13" s="9">
        <f>IF(OR(E12="",E11=""),"",E12-E11)</f>
        <v/>
      </c>
      <c r="F13" s="9">
        <f>IF(OR(F12="",F11=""),"",F12-F11)</f>
        <v/>
      </c>
    </row>
    <row r="14">
      <c r="A14" s="6" t="inlineStr">
        <is>
          <t>CFI Check</t>
        </is>
      </c>
      <c r="B14" s="7" t="n"/>
      <c r="C14" s="7" t="n"/>
      <c r="D14" s="7" t="n"/>
      <c r="E14" s="7" t="n"/>
      <c r="F14" s="7" t="n"/>
    </row>
    <row r="15">
      <c r="A15" t="inlineStr">
        <is>
          <t>Debt Repayment</t>
        </is>
      </c>
      <c r="B15" s="5" t="n">
        <v/>
      </c>
      <c r="C15" s="5" t="n">
        <v/>
      </c>
      <c r="D15" s="5" t="n">
        <v/>
      </c>
      <c r="E15" s="5" t="n">
        <v/>
      </c>
      <c r="F15" s="5" t="n">
        <v/>
      </c>
    </row>
    <row r="16">
      <c r="A16" t="inlineStr">
        <is>
          <t>Stock Issued</t>
        </is>
      </c>
      <c r="B16" s="5" t="n">
        <v/>
      </c>
      <c r="C16" s="5" t="n">
        <v/>
      </c>
      <c r="D16" s="5" t="n">
        <v/>
      </c>
      <c r="E16" s="5" t="n">
        <v/>
      </c>
      <c r="F16" s="5" t="n">
        <v/>
      </c>
    </row>
    <row r="17">
      <c r="A17" t="inlineStr">
        <is>
          <t>Stock Repurchased</t>
        </is>
      </c>
      <c r="B17" s="5" t="n">
        <v>-90711000000</v>
      </c>
      <c r="C17" s="5" t="n">
        <v>-94949000000</v>
      </c>
      <c r="D17" s="5" t="n">
        <v>-77550000000</v>
      </c>
      <c r="E17" s="5" t="n">
        <v>-89402000000</v>
      </c>
      <c r="F17" s="5" t="n">
        <v>-85971000000</v>
      </c>
    </row>
    <row r="18">
      <c r="A18" t="inlineStr">
        <is>
          <t>Dividends Paid</t>
        </is>
      </c>
      <c r="B18" s="8">
        <f>B14+B15+B16+B17</f>
        <v/>
      </c>
      <c r="C18" s="8">
        <f>C14+C15+C16+C17</f>
        <v/>
      </c>
      <c r="D18" s="8">
        <f>D14+D15+D16+D17</f>
        <v/>
      </c>
      <c r="E18" s="8">
        <f>E14+E15+E16+E17</f>
        <v/>
      </c>
      <c r="F18" s="8">
        <f>F14+F15+F16+F17</f>
        <v/>
      </c>
    </row>
    <row r="19">
      <c r="A19" s="6" t="inlineStr">
        <is>
          <t>Calculated CFF</t>
        </is>
      </c>
      <c r="B19" s="7" t="n"/>
      <c r="C19" s="7" t="n"/>
      <c r="D19" s="7" t="n"/>
      <c r="E19" s="7" t="n"/>
      <c r="F19" s="7" t="n"/>
    </row>
    <row r="20">
      <c r="A20" s="6" t="inlineStr">
        <is>
          <t>Reported CFF</t>
        </is>
      </c>
      <c r="B20" s="9">
        <f>IF(OR(B19="",B18=""),"",B19-B18)</f>
        <v/>
      </c>
      <c r="C20" s="9">
        <f>IF(OR(C19="",C18=""),"",C19-C18)</f>
        <v/>
      </c>
      <c r="D20" s="9">
        <f>IF(OR(D19="",D18=""),"",D19-D18)</f>
        <v/>
      </c>
      <c r="E20" s="9">
        <f>IF(OR(E19="",E18=""),"",E19-E18)</f>
        <v/>
      </c>
      <c r="F20" s="9">
        <f>IF(OR(F19="",F18=""),"",F19-F18)</f>
        <v/>
      </c>
    </row>
    <row r="21">
      <c r="A21" s="6" t="inlineStr">
        <is>
          <t>CFF Check</t>
        </is>
      </c>
      <c r="B21" s="9">
        <f>B6+B9</f>
        <v/>
      </c>
      <c r="C21" s="9">
        <f>C6+C9</f>
        <v/>
      </c>
      <c r="D21" s="9">
        <f>D6+D9</f>
        <v/>
      </c>
      <c r="E21" s="9">
        <f>E6+E9</f>
        <v/>
      </c>
      <c r="F21" s="9">
        <f>F6+F9</f>
        <v/>
      </c>
    </row>
    <row r="22">
      <c r="A22" s="6" t="inlineStr">
        <is>
          <t>Calculated FCF</t>
        </is>
      </c>
      <c r="B22" s="7" t="n"/>
      <c r="C22" s="7" t="n"/>
      <c r="D22" s="7" t="n"/>
      <c r="E22" s="7" t="n"/>
      <c r="F22" s="7" t="n"/>
    </row>
    <row r="23">
      <c r="A23" s="6" t="inlineStr">
        <is>
          <t>Reported Free Cash Flow</t>
        </is>
      </c>
      <c r="B23" s="9">
        <f>IF(OR(B22="",B21=""),"",B22-B21)</f>
        <v/>
      </c>
      <c r="C23" s="9">
        <f>IF(OR(C22="",C21=""),"",C22-C21)</f>
        <v/>
      </c>
      <c r="D23" s="9">
        <f>IF(OR(D22="",D21=""),"",D22-D21)</f>
        <v/>
      </c>
      <c r="E23" s="9">
        <f>IF(OR(E22="",E21=""),"",E22-E21)</f>
        <v/>
      </c>
      <c r="F23" s="9">
        <f>IF(OR(F22="",F21=""),"",F22-F21)</f>
        <v/>
      </c>
    </row>
    <row r="24">
      <c r="A24" s="6" t="inlineStr">
        <is>
          <t>FCF Check</t>
        </is>
      </c>
      <c r="B24" s="7" t="n"/>
      <c r="C24" s="7" t="n"/>
      <c r="D24" s="7" t="n"/>
      <c r="E24" s="7" t="n"/>
      <c r="F24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0" t="inlineStr">
        <is>
          <t>Check</t>
        </is>
      </c>
      <c r="B1" s="10" t="inlineStr">
        <is>
          <t>Meaning</t>
        </is>
      </c>
    </row>
    <row r="2">
      <c r="A2" s="2" t="inlineStr">
        <is>
          <t>IS Checks</t>
        </is>
      </c>
      <c r="B2" s="2" t="inlineStr">
        <is>
          <t>Compare reported vs calculated Gross Profit / Operating Income / Net Income / EPS</t>
        </is>
      </c>
    </row>
    <row r="3">
      <c r="A3" s="2" t="inlineStr">
        <is>
          <t>BS Checks</t>
        </is>
      </c>
      <c r="B3" s="2" t="inlineStr">
        <is>
          <t>Compare reported vs calculated Current Assets / Assets / Liabilities / Equity / L+E</t>
        </is>
      </c>
    </row>
    <row r="4">
      <c r="A4" s="2" t="inlineStr">
        <is>
          <t>CF Checks</t>
        </is>
      </c>
      <c r="B4" s="2" t="inlineStr">
        <is>
          <t>Compare reported vs calculated CFO / CFI / CFF / FCF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2026-03-17T09:13:27Z</dcterms:created>
  <dcterms:modified xsi:type="dcterms:W3CDTF">2026-03-17T09:13:27Z</dcterms:modified>
</cp:coreProperties>
</file>